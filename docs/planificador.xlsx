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40" windowWidth="21852" windowHeight="10788"/>
  </bookViews>
  <sheets>
    <sheet name="Simulador Coste Boda" sheetId="2" r:id="rId1"/>
    <sheet name="Gastos" sheetId="4" r:id="rId2"/>
    <sheet name="Resumen" sheetId="5" r:id="rId3"/>
    <sheet name="Invitados" sheetId="6" r:id="rId4"/>
    <sheet name="Timeline" sheetId="7" r:id="rId5"/>
  </sheets>
  <calcPr calcId="145621"/>
</workbook>
</file>

<file path=xl/calcChain.xml><?xml version="1.0" encoding="utf-8"?>
<calcChain xmlns="http://schemas.openxmlformats.org/spreadsheetml/2006/main">
  <c r="I1" i="6" l="1"/>
  <c r="C4" i="4"/>
  <c r="B3" i="4" s="1"/>
  <c r="C2" i="6"/>
  <c r="K1" i="6"/>
  <c r="C1" i="6"/>
  <c r="B1" i="6"/>
  <c r="B28" i="5"/>
  <c r="B27" i="5"/>
  <c r="B26" i="5"/>
  <c r="B25" i="5"/>
  <c r="B24" i="5"/>
  <c r="B22" i="5"/>
  <c r="B21" i="5"/>
  <c r="B19" i="5"/>
  <c r="B18" i="5"/>
  <c r="B17" i="5"/>
  <c r="B16" i="5"/>
  <c r="B15" i="5"/>
  <c r="B14" i="5"/>
  <c r="B12" i="5"/>
  <c r="B11" i="5"/>
  <c r="B10" i="5"/>
  <c r="B9" i="5"/>
  <c r="B8" i="5"/>
  <c r="B7" i="5"/>
  <c r="B6" i="5"/>
  <c r="B5" i="5"/>
  <c r="B4" i="5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F8" i="4"/>
  <c r="G8" i="4" s="1"/>
  <c r="F7" i="4"/>
  <c r="G7" i="4" s="1"/>
  <c r="F6" i="4"/>
  <c r="G6" i="4" s="1"/>
  <c r="E4" i="4"/>
  <c r="D4" i="4"/>
  <c r="I2" i="4" s="1"/>
  <c r="C149" i="2"/>
  <c r="D149" i="2" s="1"/>
  <c r="C148" i="2"/>
  <c r="D148" i="2" s="1"/>
  <c r="C147" i="2"/>
  <c r="D147" i="2" s="1"/>
  <c r="C146" i="2"/>
  <c r="D146" i="2" s="1"/>
  <c r="C145" i="2"/>
  <c r="D145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C126" i="2"/>
  <c r="D126" i="2" s="1"/>
  <c r="C125" i="2"/>
  <c r="D125" i="2" s="1"/>
  <c r="C124" i="2"/>
  <c r="D124" i="2" s="1"/>
  <c r="C123" i="2"/>
  <c r="D123" i="2" s="1"/>
  <c r="C122" i="2"/>
  <c r="D122" i="2" s="1"/>
  <c r="C121" i="2"/>
  <c r="D121" i="2" s="1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4" i="2"/>
  <c r="D114" i="2" s="1"/>
  <c r="C113" i="2"/>
  <c r="D113" i="2" s="1"/>
  <c r="C112" i="2"/>
  <c r="D112" i="2" s="1"/>
  <c r="C111" i="2"/>
  <c r="D111" i="2" s="1"/>
  <c r="C110" i="2"/>
  <c r="D110" i="2" s="1"/>
  <c r="C109" i="2"/>
  <c r="D109" i="2" s="1"/>
  <c r="C108" i="2"/>
  <c r="D108" i="2" s="1"/>
  <c r="C107" i="2"/>
  <c r="D107" i="2" s="1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B2" i="4" l="1"/>
  <c r="B2" i="5" s="1"/>
  <c r="B3" i="5" s="1"/>
  <c r="B4" i="2"/>
</calcChain>
</file>

<file path=xl/comments1.xml><?xml version="1.0" encoding="utf-8"?>
<comments xmlns="http://schemas.openxmlformats.org/spreadsheetml/2006/main">
  <authors>
    <author/>
  </authors>
  <commentList>
    <comment ref="C2" authorId="0">
      <text>
        <r>
          <rPr>
            <sz val="11"/>
            <rFont val="Calibri"/>
            <scheme val="minor"/>
          </rPr>
          <t>Este es el precio que tú crees que cuesta.</t>
        </r>
      </text>
    </comment>
    <comment ref="D2" authorId="0">
      <text>
        <r>
          <rPr>
            <sz val="11"/>
            <rFont val="Calibri"/>
            <scheme val="minor"/>
          </rPr>
          <t>Este es el precio que ya sabes que cuesta</t>
        </r>
      </text>
    </comment>
    <comment ref="E2" authorId="0">
      <text>
        <r>
          <rPr>
            <sz val="11"/>
            <rFont val="Calibri"/>
            <scheme val="minor"/>
          </rPr>
          <t>Esta es la cantidad que ya ha sido pagada</t>
        </r>
      </text>
    </comment>
  </commentList>
</comments>
</file>

<file path=xl/sharedStrings.xml><?xml version="1.0" encoding="utf-8"?>
<sst xmlns="http://schemas.openxmlformats.org/spreadsheetml/2006/main" count="412" uniqueCount="228">
  <si>
    <t>Columna1</t>
  </si>
  <si>
    <t>Número de invitados (añadir)</t>
  </si>
  <si>
    <t>Vuestro presupuesto (añadir)</t>
  </si>
  <si>
    <t>Coste estimado Boda</t>
  </si>
  <si>
    <t>Coste estimado por invitado</t>
  </si>
  <si>
    <t>Nombre del Gasto</t>
  </si>
  <si>
    <t>Coste estimado</t>
  </si>
  <si>
    <t>Contabilizar</t>
  </si>
  <si>
    <t>Columna2</t>
  </si>
  <si>
    <t>Columna3</t>
  </si>
  <si>
    <t>Columna4</t>
  </si>
  <si>
    <t>Columna5</t>
  </si>
  <si>
    <t>Lugar de Recepción/Celebración</t>
  </si>
  <si>
    <t>Sí</t>
  </si>
  <si>
    <t>Alquiler del lugar de la ceremonia</t>
  </si>
  <si>
    <t>Catering</t>
  </si>
  <si>
    <t>Fotógrafo</t>
  </si>
  <si>
    <t>Vestido de novia</t>
  </si>
  <si>
    <t>Traje de novio</t>
  </si>
  <si>
    <t>Anillos de Boda</t>
  </si>
  <si>
    <t>Música</t>
  </si>
  <si>
    <t>Decoración</t>
  </si>
  <si>
    <t>Flores</t>
  </si>
  <si>
    <t>Papelería</t>
  </si>
  <si>
    <t>Tarta nupcial</t>
  </si>
  <si>
    <t>Transporte</t>
  </si>
  <si>
    <t>Maquillaje novia</t>
  </si>
  <si>
    <t>Peluquería novia</t>
  </si>
  <si>
    <t>Regalos para los invitados</t>
  </si>
  <si>
    <t>No</t>
  </si>
  <si>
    <t>Oficiante</t>
  </si>
  <si>
    <t>Licencias</t>
  </si>
  <si>
    <t>Luna de Miel</t>
  </si>
  <si>
    <t>Vestidos de las damas de honor</t>
  </si>
  <si>
    <t>Gemelos</t>
  </si>
  <si>
    <t>Zapatos novio</t>
  </si>
  <si>
    <t>Trajes de los padrinos</t>
  </si>
  <si>
    <t>Joyería</t>
  </si>
  <si>
    <t>Corbata</t>
  </si>
  <si>
    <t>Velo</t>
  </si>
  <si>
    <t>Tratamientos de belleza (faciales, manicura)</t>
  </si>
  <si>
    <t>Maquillaje y peinado de las damas de honor</t>
  </si>
  <si>
    <t>Peluquería novio</t>
  </si>
  <si>
    <t>Maquillaje novio</t>
  </si>
  <si>
    <t>Arreglo de los padrinos</t>
  </si>
  <si>
    <t>Postres adicionales</t>
  </si>
  <si>
    <t>Bebidas alcohólicas</t>
  </si>
  <si>
    <t>Catering del desayuno/brunch</t>
  </si>
  <si>
    <t>Mesa de dulces</t>
  </si>
  <si>
    <t>Puesto de café</t>
  </si>
  <si>
    <t>Barra de postres</t>
  </si>
  <si>
    <t>Catering de la cena</t>
  </si>
  <si>
    <t>Puesto de snacks nocturnos</t>
  </si>
  <si>
    <t>Catering de la comida</t>
  </si>
  <si>
    <t>Menú degustación</t>
  </si>
  <si>
    <t>Bebidas no alcohólicas</t>
  </si>
  <si>
    <t>Barra libre</t>
  </si>
  <si>
    <t>Servicio de camareros</t>
  </si>
  <si>
    <t>Cocktail de bienvenida</t>
  </si>
  <si>
    <t>Boutonnieres del novio y padrinos</t>
  </si>
  <si>
    <t>Ramo de la novia</t>
  </si>
  <si>
    <t>Ramos de las damas de honor</t>
  </si>
  <si>
    <t>Centros de mesa</t>
  </si>
  <si>
    <t>Flores para la ceremonia</t>
  </si>
  <si>
    <t>Decoración de sillas</t>
  </si>
  <si>
    <t>Confeti o pétalos</t>
  </si>
  <si>
    <t>Arcos florales</t>
  </si>
  <si>
    <t>Decoración de la mesa principal</t>
  </si>
  <si>
    <t>Flores para la recepción</t>
  </si>
  <si>
    <t>Decoración del coche de los novios</t>
  </si>
  <si>
    <t>Álbum de fotos Digital</t>
  </si>
  <si>
    <t>Dron para tomas aéreas</t>
  </si>
  <si>
    <t>Álbum de fotos Papel</t>
  </si>
  <si>
    <t>Fotomatón para invitados</t>
  </si>
  <si>
    <t>Sesión de fotos post-boda</t>
  </si>
  <si>
    <t>Sesión de fotos pre-boda</t>
  </si>
  <si>
    <t>Fotos impresas para invitados</t>
  </si>
  <si>
    <t>Videógrafo</t>
  </si>
  <si>
    <t>Programas de la ceremonia</t>
  </si>
  <si>
    <t>Invitaciones digitales</t>
  </si>
  <si>
    <t>Sobres</t>
  </si>
  <si>
    <t>Señalización del evento</t>
  </si>
  <si>
    <t>Libro de firmas</t>
  </si>
  <si>
    <t>Invitaciones papel</t>
  </si>
  <si>
    <t>Menús</t>
  </si>
  <si>
    <t>Sellos personalizados</t>
  </si>
  <si>
    <t>Tarjetas de asiento</t>
  </si>
  <si>
    <t>Tarjetas de agradecimiento</t>
  </si>
  <si>
    <t>Decoración del lugar de la ceremonia</t>
  </si>
  <si>
    <t>Seguridad del evento</t>
  </si>
  <si>
    <t>Mobiliario (sillas, mesas)</t>
  </si>
  <si>
    <t>Decoración del lugar de la recepción</t>
  </si>
  <si>
    <t>Carpas o toldos</t>
  </si>
  <si>
    <t>Alojamiento</t>
  </si>
  <si>
    <t>Actividades y tours</t>
  </si>
  <si>
    <t>Transporte en destino</t>
  </si>
  <si>
    <t>Vuelos</t>
  </si>
  <si>
    <t>Pasaportes y visados</t>
  </si>
  <si>
    <t>Coche de alquiler</t>
  </si>
  <si>
    <t>Cena romántica</t>
  </si>
  <si>
    <t>Spa y masajes</t>
  </si>
  <si>
    <t>Trenes</t>
  </si>
  <si>
    <t>Seguro de viaje</t>
  </si>
  <si>
    <t>Coro para la ceremonia</t>
  </si>
  <si>
    <t>DJ</t>
  </si>
  <si>
    <t>Fuegos artificiales</t>
  </si>
  <si>
    <t>Karaoke</t>
  </si>
  <si>
    <t>Banda en vivo</t>
  </si>
  <si>
    <t>Animador o maestro de ceremonias</t>
  </si>
  <si>
    <t>Photocall con accesorios</t>
  </si>
  <si>
    <t>Cantante</t>
  </si>
  <si>
    <t>Equipo de sonido</t>
  </si>
  <si>
    <t>Alquiler de coche clásico</t>
  </si>
  <si>
    <t>Transporte para la familia</t>
  </si>
  <si>
    <t>Autobús para invitados</t>
  </si>
  <si>
    <t>Coche de los novios</t>
  </si>
  <si>
    <t>Regalos para las damas de honor</t>
  </si>
  <si>
    <t>Ensayo de la ceremonia</t>
  </si>
  <si>
    <t>Servicio de guardería para niños</t>
  </si>
  <si>
    <t>Clases de baile para los novios</t>
  </si>
  <si>
    <t>Sesión de fotos de compromiso</t>
  </si>
  <si>
    <t>Seguro del evento</t>
  </si>
  <si>
    <t>Fotógrafo de familia</t>
  </si>
  <si>
    <t>Ensayo del primer baile</t>
  </si>
  <si>
    <t>Servicio de entrega de regalos</t>
  </si>
  <si>
    <t>Gestión de listas de regalos</t>
  </si>
  <si>
    <t>Regalos para los padrinos</t>
  </si>
  <si>
    <t>Alojamiento para los invitados</t>
  </si>
  <si>
    <t>Peluquero para los invitados</t>
  </si>
  <si>
    <t>Maquillador para los invitados</t>
  </si>
  <si>
    <t>Servicio de lavandería para el vestuario</t>
  </si>
  <si>
    <t>Streaming en vivo de la boda</t>
  </si>
  <si>
    <t>Equipo de video en vivo</t>
  </si>
  <si>
    <t>Licencia de matrimonio</t>
  </si>
  <si>
    <t>Notaría</t>
  </si>
  <si>
    <t>Honorarios del oficiante</t>
  </si>
  <si>
    <t>Impresión de fotos durante el evento</t>
  </si>
  <si>
    <t>Recuerdos de la boda personalizados</t>
  </si>
  <si>
    <t>Servicio de limpieza post-evento</t>
  </si>
  <si>
    <t>Ensayo de la cena</t>
  </si>
  <si>
    <t>Coordinación de horarios</t>
  </si>
  <si>
    <t>Redes sociales y gestión de invitados</t>
  </si>
  <si>
    <t>Gestión de redes sociales durante el evento</t>
  </si>
  <si>
    <t>Propinas para proveedores</t>
  </si>
  <si>
    <t>Tours y actividades para los invitados</t>
  </si>
  <si>
    <t>Coordinación de horarios de transporte</t>
  </si>
  <si>
    <t>Kit de emergencia para la boda</t>
  </si>
  <si>
    <t>Página web de la boda</t>
  </si>
  <si>
    <t>Notas</t>
  </si>
  <si>
    <t>Nº de invitados previstos</t>
  </si>
  <si>
    <t>Coste Real por invitado</t>
  </si>
  <si>
    <t>COSTE REAL</t>
  </si>
  <si>
    <t>Coste Real</t>
  </si>
  <si>
    <t>Pagado</t>
  </si>
  <si>
    <t>ESTIMADO</t>
  </si>
  <si>
    <t>Estado</t>
  </si>
  <si>
    <t>Proveedor</t>
  </si>
  <si>
    <t>Notas Proveedor</t>
  </si>
  <si>
    <t>Columna6</t>
  </si>
  <si>
    <t>Columna7</t>
  </si>
  <si>
    <t>Columna8</t>
  </si>
  <si>
    <t>Columna9</t>
  </si>
  <si>
    <t>Esta Fila está desbloqueada para probar</t>
  </si>
  <si>
    <t>Proveedor 1</t>
  </si>
  <si>
    <t>Reservar con 3 meses de antelación</t>
  </si>
  <si>
    <t>Proveedor 2</t>
  </si>
  <si>
    <t>Peluquería</t>
  </si>
  <si>
    <t>Invitaciones Digitales</t>
  </si>
  <si>
    <t>Gasto Total</t>
  </si>
  <si>
    <t>Toda la información se crea de manera automática a partir de los datos de las hojas</t>
  </si>
  <si>
    <t>Gasto por invitado</t>
  </si>
  <si>
    <t>Nº de invitados</t>
  </si>
  <si>
    <t>Confirmados</t>
  </si>
  <si>
    <t>No confirmados</t>
  </si>
  <si>
    <t>No vienen</t>
  </si>
  <si>
    <t>Familia</t>
  </si>
  <si>
    <t>Amigos</t>
  </si>
  <si>
    <t>Trabajo</t>
  </si>
  <si>
    <t>Estudios</t>
  </si>
  <si>
    <t>Otros</t>
  </si>
  <si>
    <t>Celiacos</t>
  </si>
  <si>
    <t>Veganos</t>
  </si>
  <si>
    <t>Vegetarianos</t>
  </si>
  <si>
    <t>Intolerantes a la lactosa</t>
  </si>
  <si>
    <t>Intolerantes al huevo</t>
  </si>
  <si>
    <t>Intolerantes a los frutos secos</t>
  </si>
  <si>
    <t>Necesitan Autobús de ida</t>
  </si>
  <si>
    <t>Necesitan Autobús de vuelta</t>
  </si>
  <si>
    <t>Mesa Nupcial</t>
  </si>
  <si>
    <t>Mesa 1</t>
  </si>
  <si>
    <t>Mesa 2</t>
  </si>
  <si>
    <t>Mesa 3</t>
  </si>
  <si>
    <t>Mesa 4</t>
  </si>
  <si>
    <t>Nombre invitad@</t>
  </si>
  <si>
    <t>Confirmado</t>
  </si>
  <si>
    <t>Relación</t>
  </si>
  <si>
    <t>Adulto/niño</t>
  </si>
  <si>
    <t>Invitación enviada</t>
  </si>
  <si>
    <t>Mesa</t>
  </si>
  <si>
    <t>Especificaciones Alimenticias</t>
  </si>
  <si>
    <t>Autobús Ida</t>
  </si>
  <si>
    <t>Hora/Turno i</t>
  </si>
  <si>
    <t>Autobús Vuelta</t>
  </si>
  <si>
    <t>Hora/Turno v</t>
  </si>
  <si>
    <t>Comentario</t>
  </si>
  <si>
    <t>Adulto</t>
  </si>
  <si>
    <t>Celiac@</t>
  </si>
  <si>
    <t>Necesita asistencia Silla de Ruedas</t>
  </si>
  <si>
    <t>Niño</t>
  </si>
  <si>
    <t>Vegetarian@</t>
  </si>
  <si>
    <t>No viene</t>
  </si>
  <si>
    <t>Sin asignar</t>
  </si>
  <si>
    <t>Hora</t>
  </si>
  <si>
    <t>Evento</t>
  </si>
  <si>
    <t>Dirección</t>
  </si>
  <si>
    <t>Iglesia</t>
  </si>
  <si>
    <t>Recepción de los invitados</t>
  </si>
  <si>
    <t>Comida</t>
  </si>
  <si>
    <t>Pepe 1</t>
  </si>
  <si>
    <t>Pepe 2</t>
  </si>
  <si>
    <t>Pepe 3</t>
  </si>
  <si>
    <t>Pepe 4</t>
  </si>
  <si>
    <t>RESUMEN</t>
  </si>
  <si>
    <t>SIMULADOR COSTE DE BODA</t>
  </si>
  <si>
    <t>GASTOS</t>
  </si>
  <si>
    <t>LISTA DE INVITADOS</t>
  </si>
  <si>
    <t>TIMELINE</t>
  </si>
  <si>
    <t>Teléfono/email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</si>
</sst>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#,##0\ &quot;€&quot;;[Red]\-#,##0\ &quot;€&quot;"/>
    <numFmt numFmtId="164" formatCode="[$$]#,##0.00"/>
    <numFmt numFmtId="165" formatCode="#,##0\ &quot;€&quot;"/>
    <numFmt numFmtId="166" formatCode="#,##0\ [$€-1]"/>
    <numFmt numFmtId="167" formatCode="_-* #,##0\ &quot;€&quot;_-;\-* #,##0\ &quot;€&quot;_-;_-* &quot;-&quot;??\ &quot;€&quot;_-;_-@"/>
  </numFmts>
  <fonts count="47">
    <font>
      <sz val="11"/>
      <name val="Calibri"/>
      <scheme val="minor"/>
    </font>
    <font>
      <sz val="10"/>
      <color rgb="FF000000"/>
      <name val="Quattrocento Sans"/>
    </font>
    <font>
      <sz val="14"/>
      <color rgb="FFFFFFFF"/>
      <name val="Quattrocento Sans"/>
    </font>
    <font>
      <sz val="12"/>
      <color rgb="FF434343"/>
      <name val="Quattrocento Sans"/>
    </font>
    <font>
      <sz val="12"/>
      <color rgb="FF000000"/>
      <name val="Quattrocento Sans"/>
    </font>
    <font>
      <b/>
      <sz val="22"/>
      <color rgb="FFFFFFFF"/>
      <name val="Quattrocento Sans"/>
    </font>
    <font>
      <sz val="11"/>
      <name val="Calibri"/>
    </font>
    <font>
      <sz val="12"/>
      <color rgb="FFFFFFFF"/>
      <name val="Quattrocento Sans"/>
    </font>
    <font>
      <b/>
      <sz val="14"/>
      <color rgb="FFFFFFFF"/>
      <name val="Quattrocento Sans"/>
    </font>
    <font>
      <sz val="13"/>
      <color rgb="FF434343"/>
      <name val="Quattrocento Sans"/>
    </font>
    <font>
      <sz val="13"/>
      <color rgb="FF999999"/>
      <name val="Quattrocento Sans"/>
    </font>
    <font>
      <sz val="13"/>
      <color rgb="FF595959"/>
      <name val="Quattrocento Sans"/>
    </font>
    <font>
      <sz val="12"/>
      <color rgb="FF595959"/>
      <name val="Quattrocento Sans"/>
    </font>
    <font>
      <b/>
      <sz val="16"/>
      <color rgb="FFFFFFFF"/>
      <name val="Quattrocento Sans"/>
    </font>
    <font>
      <sz val="16"/>
      <color rgb="FFFFFFFF"/>
      <name val="Quattrocento Sans"/>
    </font>
    <font>
      <sz val="12"/>
      <color rgb="FFDD588D"/>
      <name val="Quattrocento Sans"/>
    </font>
    <font>
      <sz val="12"/>
      <color rgb="FF35D3CF"/>
      <name val="Quattrocento Sans"/>
    </font>
    <font>
      <sz val="12"/>
      <color rgb="FFCC0000"/>
      <name val="Quattrocento Sans"/>
    </font>
    <font>
      <sz val="16"/>
      <color rgb="FF434343"/>
      <name val="Quattrocento Sans"/>
    </font>
    <font>
      <sz val="14"/>
      <name val="Quattrocento Sans"/>
    </font>
    <font>
      <sz val="14"/>
      <color rgb="FF000000"/>
      <name val="Quattrocento Sans"/>
    </font>
    <font>
      <sz val="12"/>
      <color rgb="FFB7B7B7"/>
      <name val="Quattrocento Sans"/>
    </font>
    <font>
      <sz val="12"/>
      <color rgb="FFDC9FB7"/>
      <name val="Quattrocento Sans"/>
    </font>
    <font>
      <sz val="12"/>
      <color rgb="FFABE0E0"/>
      <name val="Quattrocento Sans"/>
    </font>
    <font>
      <sz val="12"/>
      <name val="Quattrocento Sans"/>
    </font>
    <font>
      <sz val="12"/>
      <color rgb="FF7F7F7F"/>
      <name val="Quattrocento Sans"/>
    </font>
    <font>
      <u/>
      <sz val="12"/>
      <name val="Quattrocento Sans"/>
    </font>
    <font>
      <sz val="11"/>
      <name val="Calibri"/>
    </font>
    <font>
      <sz val="13"/>
      <name val="Quattrocento Sans"/>
    </font>
    <font>
      <sz val="12"/>
      <color rgb="FF666666"/>
      <name val="Quattrocento Sans"/>
    </font>
    <font>
      <sz val="18"/>
      <color rgb="FF666666"/>
      <name val="Quattrocento Sans"/>
    </font>
    <font>
      <sz val="10"/>
      <color rgb="FF666666"/>
      <name val="Quattrocento Sans"/>
    </font>
    <font>
      <sz val="14"/>
      <color rgb="FF262626"/>
      <name val="Quattrocento Sans"/>
    </font>
    <font>
      <b/>
      <sz val="14"/>
      <color rgb="FF262626"/>
      <name val="Quattrocento Sans"/>
    </font>
    <font>
      <sz val="22"/>
      <color rgb="FFFFFFFF"/>
      <name val="Quattrocento Sans"/>
    </font>
    <font>
      <b/>
      <sz val="20"/>
      <color theme="0"/>
      <name val="Quattrocento Sans"/>
    </font>
    <font>
      <sz val="13"/>
      <color theme="0"/>
      <name val="Quattrocento Sans"/>
    </font>
    <font>
      <sz val="14"/>
      <color theme="9" tint="0.79998168889431442"/>
      <name val="Quattrocento Sans"/>
    </font>
    <font>
      <b/>
      <sz val="16"/>
      <color theme="9" tint="0.79998168889431442"/>
      <name val="Quattrocento Sans"/>
    </font>
    <font>
      <sz val="11"/>
      <color theme="9" tint="0.79998168889431442"/>
      <name val="Calibri"/>
      <family val="2"/>
    </font>
    <font>
      <sz val="12"/>
      <color theme="0"/>
      <name val="Quattrocento Sans"/>
    </font>
    <font>
      <b/>
      <sz val="18"/>
      <color theme="0"/>
      <name val="Quattrocento Sans"/>
    </font>
    <font>
      <sz val="18"/>
      <color theme="0"/>
      <name val="Quattrocento Sans"/>
    </font>
    <font>
      <sz val="11"/>
      <color theme="0"/>
      <name val="Calibri"/>
      <family val="2"/>
    </font>
    <font>
      <sz val="14"/>
      <color theme="0"/>
      <name val="Quattrocento Sans"/>
    </font>
    <font>
      <sz val="11"/>
      <name val="Calibri"/>
      <family val="2"/>
    </font>
    <font>
      <b/>
      <sz val="14"/>
      <name val="Quattrocento Sans"/>
    </font>
  </fonts>
  <fills count="19">
    <fill>
      <patternFill patternType="none"/>
    </fill>
    <fill>
      <patternFill patternType="gray125"/>
    </fill>
    <fill>
      <patternFill patternType="solid">
        <fgColor rgb="FFDD588D"/>
        <bgColor rgb="FFDD588D"/>
      </patternFill>
    </fill>
    <fill>
      <patternFill patternType="solid">
        <fgColor rgb="FF64DADA"/>
        <bgColor rgb="FF64DADA"/>
      </patternFill>
    </fill>
    <fill>
      <patternFill patternType="solid">
        <fgColor rgb="FFA8D08D"/>
        <bgColor rgb="FFA8D08D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01D1C7"/>
        <bgColor rgb="FF01D1C7"/>
      </patternFill>
    </fill>
    <fill>
      <patternFill patternType="solid">
        <fgColor rgb="FF9DD325"/>
        <bgColor rgb="FF9DD325"/>
      </patternFill>
    </fill>
    <fill>
      <patternFill patternType="solid">
        <fgColor rgb="FFFF5050"/>
        <bgColor rgb="FFFF5050"/>
      </patternFill>
    </fill>
    <fill>
      <patternFill patternType="solid">
        <fgColor rgb="FFCE84B5"/>
        <bgColor rgb="FFDD588D"/>
      </patternFill>
    </fill>
    <fill>
      <patternFill patternType="solid">
        <fgColor rgb="FFCE84B5"/>
        <bgColor indexed="64"/>
      </patternFill>
    </fill>
    <fill>
      <patternFill patternType="solid">
        <fgColor rgb="FF618554"/>
        <bgColor rgb="FFDD588D"/>
      </patternFill>
    </fill>
    <fill>
      <patternFill patternType="solid">
        <fgColor rgb="FF618554"/>
        <bgColor indexed="64"/>
      </patternFill>
    </fill>
    <fill>
      <patternFill patternType="solid">
        <fgColor rgb="FFCE84B5"/>
        <bgColor rgb="FF64DADA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double">
        <color rgb="FF64DADA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 applyFont="1" applyAlignment="1"/>
    <xf numFmtId="0" fontId="1" fillId="0" borderId="0" xfId="0" applyFont="1"/>
    <xf numFmtId="0" fontId="4" fillId="0" borderId="0" xfId="0" applyFont="1"/>
    <xf numFmtId="0" fontId="3" fillId="0" borderId="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6" borderId="11" xfId="0" applyFont="1" applyFill="1" applyBorder="1" applyAlignment="1">
      <alignment vertical="center" wrapText="1"/>
    </xf>
    <xf numFmtId="6" fontId="11" fillId="6" borderId="11" xfId="0" applyNumberFormat="1" applyFont="1" applyFill="1" applyBorder="1" applyAlignment="1">
      <alignment horizontal="right" vertical="center" wrapText="1"/>
    </xf>
    <xf numFmtId="3" fontId="10" fillId="0" borderId="14" xfId="0" applyNumberFormat="1" applyFont="1" applyBorder="1" applyAlignment="1">
      <alignment vertical="center"/>
    </xf>
    <xf numFmtId="165" fontId="10" fillId="0" borderId="14" xfId="0" applyNumberFormat="1" applyFont="1" applyBorder="1" applyAlignment="1">
      <alignment vertical="center"/>
    </xf>
    <xf numFmtId="165" fontId="3" fillId="0" borderId="15" xfId="0" applyNumberFormat="1" applyFont="1" applyBorder="1"/>
    <xf numFmtId="0" fontId="11" fillId="7" borderId="11" xfId="0" applyFont="1" applyFill="1" applyBorder="1" applyAlignment="1">
      <alignment vertical="center" wrapText="1"/>
    </xf>
    <xf numFmtId="6" fontId="11" fillId="7" borderId="11" xfId="0" applyNumberFormat="1" applyFont="1" applyFill="1" applyBorder="1" applyAlignment="1">
      <alignment horizontal="right" vertical="center" wrapText="1"/>
    </xf>
    <xf numFmtId="165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5" fontId="10" fillId="0" borderId="9" xfId="0" applyNumberFormat="1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65" fontId="12" fillId="0" borderId="9" xfId="0" applyNumberFormat="1" applyFont="1" applyBorder="1" applyAlignment="1">
      <alignment vertical="center"/>
    </xf>
    <xf numFmtId="3" fontId="10" fillId="0" borderId="16" xfId="0" applyNumberFormat="1" applyFont="1" applyBorder="1" applyAlignment="1">
      <alignment vertical="center"/>
    </xf>
    <xf numFmtId="165" fontId="10" fillId="0" borderId="16" xfId="0" applyNumberFormat="1" applyFont="1" applyBorder="1" applyAlignment="1">
      <alignment vertical="center"/>
    </xf>
    <xf numFmtId="0" fontId="3" fillId="0" borderId="17" xfId="0" applyFont="1" applyBorder="1"/>
    <xf numFmtId="0" fontId="3" fillId="0" borderId="1" xfId="0" applyFont="1" applyBorder="1"/>
    <xf numFmtId="0" fontId="3" fillId="0" borderId="9" xfId="0" applyFont="1" applyBorder="1" applyAlignment="1">
      <alignment vertical="center"/>
    </xf>
    <xf numFmtId="0" fontId="3" fillId="0" borderId="9" xfId="0" applyFont="1" applyBorder="1"/>
    <xf numFmtId="0" fontId="3" fillId="7" borderId="20" xfId="0" applyFont="1" applyFill="1" applyBorder="1" applyAlignment="1">
      <alignment vertical="center"/>
    </xf>
    <xf numFmtId="0" fontId="3" fillId="0" borderId="1" xfId="0" applyFont="1" applyBorder="1"/>
    <xf numFmtId="164" fontId="7" fillId="10" borderId="24" xfId="0" applyNumberFormat="1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3" fillId="8" borderId="1" xfId="0" applyFont="1" applyFill="1" applyBorder="1" applyAlignment="1">
      <alignment vertical="center"/>
    </xf>
    <xf numFmtId="166" fontId="14" fillId="8" borderId="1" xfId="0" applyNumberFormat="1" applyFont="1" applyFill="1" applyBorder="1" applyAlignment="1">
      <alignment horizontal="center" vertical="center"/>
    </xf>
    <xf numFmtId="166" fontId="19" fillId="3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3" fillId="7" borderId="26" xfId="0" applyFont="1" applyFill="1" applyBorder="1" applyAlignment="1">
      <alignment vertical="center"/>
    </xf>
    <xf numFmtId="0" fontId="4" fillId="0" borderId="2" xfId="0" applyFont="1" applyBorder="1"/>
    <xf numFmtId="166" fontId="21" fillId="7" borderId="19" xfId="0" applyNumberFormat="1" applyFont="1" applyFill="1" applyBorder="1" applyAlignment="1">
      <alignment vertical="center"/>
    </xf>
    <xf numFmtId="166" fontId="22" fillId="7" borderId="19" xfId="0" applyNumberFormat="1" applyFont="1" applyFill="1" applyBorder="1" applyAlignment="1">
      <alignment vertical="center"/>
    </xf>
    <xf numFmtId="166" fontId="23" fillId="7" borderId="19" xfId="0" applyNumberFormat="1" applyFont="1" applyFill="1" applyBorder="1" applyAlignment="1">
      <alignment vertical="center"/>
    </xf>
    <xf numFmtId="3" fontId="24" fillId="7" borderId="27" xfId="0" applyNumberFormat="1" applyFont="1" applyFill="1" applyBorder="1" applyAlignment="1">
      <alignment vertical="center"/>
    </xf>
    <xf numFmtId="0" fontId="24" fillId="7" borderId="19" xfId="0" applyFont="1" applyFill="1" applyBorder="1" applyAlignment="1">
      <alignment vertical="center"/>
    </xf>
    <xf numFmtId="0" fontId="3" fillId="7" borderId="19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3" xfId="0" applyFont="1" applyBorder="1"/>
    <xf numFmtId="166" fontId="25" fillId="0" borderId="1" xfId="0" applyNumberFormat="1" applyFont="1" applyBorder="1" applyAlignment="1">
      <alignment vertical="center"/>
    </xf>
    <xf numFmtId="166" fontId="15" fillId="0" borderId="1" xfId="0" applyNumberFormat="1" applyFont="1" applyBorder="1" applyAlignment="1">
      <alignment vertical="center"/>
    </xf>
    <xf numFmtId="166" fontId="16" fillId="0" borderId="1" xfId="0" applyNumberFormat="1" applyFont="1" applyBorder="1" applyAlignment="1">
      <alignment vertical="center"/>
    </xf>
    <xf numFmtId="3" fontId="24" fillId="0" borderId="28" xfId="0" applyNumberFormat="1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3" xfId="0" applyFont="1" applyBorder="1"/>
    <xf numFmtId="166" fontId="25" fillId="0" borderId="1" xfId="0" applyNumberFormat="1" applyFont="1" applyBorder="1"/>
    <xf numFmtId="166" fontId="15" fillId="0" borderId="1" xfId="0" applyNumberFormat="1" applyFont="1" applyBorder="1"/>
    <xf numFmtId="166" fontId="16" fillId="0" borderId="1" xfId="0" applyNumberFormat="1" applyFont="1" applyBorder="1"/>
    <xf numFmtId="3" fontId="24" fillId="0" borderId="28" xfId="0" applyNumberFormat="1" applyFont="1" applyBorder="1" applyAlignment="1">
      <alignment horizontal="right"/>
    </xf>
    <xf numFmtId="0" fontId="24" fillId="0" borderId="1" xfId="0" applyFont="1" applyBorder="1"/>
    <xf numFmtId="0" fontId="26" fillId="0" borderId="9" xfId="0" applyFont="1" applyBorder="1" applyAlignment="1">
      <alignment vertical="center"/>
    </xf>
    <xf numFmtId="0" fontId="27" fillId="0" borderId="0" xfId="0" applyFont="1"/>
    <xf numFmtId="0" fontId="11" fillId="7" borderId="1" xfId="0" applyFont="1" applyFill="1" applyBorder="1" applyAlignment="1">
      <alignment vertical="center"/>
    </xf>
    <xf numFmtId="0" fontId="27" fillId="9" borderId="1" xfId="0" applyFont="1" applyFill="1" applyBorder="1"/>
    <xf numFmtId="0" fontId="28" fillId="11" borderId="1" xfId="0" applyFont="1" applyFill="1" applyBorder="1" applyAlignment="1">
      <alignment vertical="center"/>
    </xf>
    <xf numFmtId="0" fontId="28" fillId="11" borderId="1" xfId="0" applyFont="1" applyFill="1" applyBorder="1" applyAlignment="1">
      <alignment horizontal="right" vertical="center"/>
    </xf>
    <xf numFmtId="0" fontId="28" fillId="12" borderId="1" xfId="0" applyFont="1" applyFill="1" applyBorder="1" applyAlignment="1">
      <alignment horizontal="left" vertical="center"/>
    </xf>
    <xf numFmtId="0" fontId="28" fillId="12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vertical="center"/>
    </xf>
    <xf numFmtId="0" fontId="28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3" fillId="6" borderId="19" xfId="0" applyFont="1" applyFill="1" applyBorder="1"/>
    <xf numFmtId="0" fontId="11" fillId="0" borderId="1" xfId="0" applyFont="1" applyBorder="1" applyAlignment="1">
      <alignment vertical="center"/>
    </xf>
    <xf numFmtId="0" fontId="31" fillId="0" borderId="0" xfId="0" applyFont="1"/>
    <xf numFmtId="0" fontId="32" fillId="0" borderId="0" xfId="0" applyFont="1" applyAlignment="1">
      <alignment horizontal="left"/>
    </xf>
    <xf numFmtId="1" fontId="3" fillId="0" borderId="17" xfId="0" applyNumberFormat="1" applyFont="1" applyBorder="1" applyAlignment="1">
      <alignment horizontal="right"/>
    </xf>
    <xf numFmtId="0" fontId="24" fillId="0" borderId="17" xfId="0" applyFont="1" applyBorder="1"/>
    <xf numFmtId="20" fontId="3" fillId="0" borderId="17" xfId="0" applyNumberFormat="1" applyFont="1" applyBorder="1"/>
    <xf numFmtId="1" fontId="3" fillId="0" borderId="1" xfId="0" applyNumberFormat="1" applyFont="1" applyBorder="1" applyAlignment="1">
      <alignment horizontal="right"/>
    </xf>
    <xf numFmtId="20" fontId="3" fillId="0" borderId="1" xfId="0" applyNumberFormat="1" applyFont="1" applyBorder="1"/>
    <xf numFmtId="1" fontId="24" fillId="0" borderId="1" xfId="0" applyNumberFormat="1" applyFont="1" applyBorder="1"/>
    <xf numFmtId="0" fontId="4" fillId="0" borderId="0" xfId="0" applyFont="1"/>
    <xf numFmtId="0" fontId="24" fillId="9" borderId="1" xfId="0" applyFont="1" applyFill="1" applyBorder="1"/>
    <xf numFmtId="0" fontId="28" fillId="0" borderId="1" xfId="0" applyFont="1" applyBorder="1"/>
    <xf numFmtId="0" fontId="28" fillId="0" borderId="0" xfId="0" applyFont="1"/>
    <xf numFmtId="20" fontId="11" fillId="7" borderId="1" xfId="0" applyNumberFormat="1" applyFont="1" applyFill="1" applyBorder="1"/>
    <xf numFmtId="20" fontId="11" fillId="6" borderId="1" xfId="0" applyNumberFormat="1" applyFont="1" applyFill="1" applyBorder="1"/>
    <xf numFmtId="0" fontId="2" fillId="14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167" fontId="2" fillId="16" borderId="1" xfId="0" applyNumberFormat="1" applyFont="1" applyFill="1" applyBorder="1" applyAlignment="1">
      <alignment horizontal="left" vertical="center"/>
    </xf>
    <xf numFmtId="0" fontId="36" fillId="10" borderId="1" xfId="0" applyFont="1" applyFill="1" applyBorder="1" applyAlignment="1">
      <alignment vertical="center"/>
    </xf>
    <xf numFmtId="0" fontId="2" fillId="16" borderId="4" xfId="0" applyFont="1" applyFill="1" applyBorder="1" applyAlignment="1">
      <alignment vertical="center"/>
    </xf>
    <xf numFmtId="166" fontId="37" fillId="8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vertical="center"/>
    </xf>
    <xf numFmtId="166" fontId="14" fillId="14" borderId="1" xfId="0" applyNumberFormat="1" applyFont="1" applyFill="1" applyBorder="1" applyAlignment="1">
      <alignment horizontal="center" vertical="center"/>
    </xf>
    <xf numFmtId="166" fontId="19" fillId="14" borderId="1" xfId="0" applyNumberFormat="1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vertical="center"/>
    </xf>
    <xf numFmtId="0" fontId="30" fillId="14" borderId="4" xfId="0" applyFont="1" applyFill="1" applyBorder="1" applyAlignment="1">
      <alignment horizontal="right" vertical="center"/>
    </xf>
    <xf numFmtId="0" fontId="33" fillId="14" borderId="1" xfId="0" applyFont="1" applyFill="1" applyBorder="1" applyAlignment="1">
      <alignment horizontal="left"/>
    </xf>
    <xf numFmtId="0" fontId="32" fillId="14" borderId="1" xfId="0" applyFont="1" applyFill="1" applyBorder="1" applyAlignment="1">
      <alignment horizontal="left"/>
    </xf>
    <xf numFmtId="0" fontId="30" fillId="14" borderId="4" xfId="0" applyFont="1" applyFill="1" applyBorder="1" applyAlignment="1">
      <alignment vertical="center"/>
    </xf>
    <xf numFmtId="0" fontId="44" fillId="12" borderId="4" xfId="0" applyFont="1" applyFill="1" applyBorder="1" applyAlignment="1">
      <alignment horizontal="center" vertical="center"/>
    </xf>
    <xf numFmtId="0" fontId="44" fillId="13" borderId="4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/>
    </xf>
    <xf numFmtId="0" fontId="7" fillId="18" borderId="8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vertical="center" wrapText="1"/>
    </xf>
    <xf numFmtId="0" fontId="24" fillId="18" borderId="8" xfId="0" applyFont="1" applyFill="1" applyBorder="1" applyAlignment="1">
      <alignment vertical="center" wrapText="1"/>
    </xf>
    <xf numFmtId="0" fontId="8" fillId="18" borderId="8" xfId="0" applyFont="1" applyFill="1" applyBorder="1" applyAlignment="1">
      <alignment vertical="center" wrapText="1"/>
    </xf>
    <xf numFmtId="0" fontId="2" fillId="16" borderId="18" xfId="0" applyFont="1" applyFill="1" applyBorder="1" applyAlignment="1">
      <alignment vertical="center"/>
    </xf>
    <xf numFmtId="0" fontId="2" fillId="16" borderId="13" xfId="0" applyFont="1" applyFill="1" applyBorder="1" applyAlignment="1">
      <alignment vertical="center"/>
    </xf>
    <xf numFmtId="0" fontId="2" fillId="16" borderId="31" xfId="0" applyFont="1" applyFill="1" applyBorder="1" applyAlignment="1">
      <alignment vertical="center"/>
    </xf>
    <xf numFmtId="6" fontId="24" fillId="4" borderId="9" xfId="0" applyNumberFormat="1" applyFont="1" applyFill="1" applyBorder="1" applyAlignment="1">
      <alignment horizontal="left" vertical="center" wrapText="1"/>
    </xf>
    <xf numFmtId="0" fontId="45" fillId="0" borderId="10" xfId="0" applyFont="1" applyBorder="1"/>
    <xf numFmtId="0" fontId="45" fillId="0" borderId="3" xfId="0" applyFont="1" applyBorder="1"/>
    <xf numFmtId="6" fontId="46" fillId="5" borderId="9" xfId="0" applyNumberFormat="1" applyFont="1" applyFill="1" applyBorder="1" applyAlignment="1">
      <alignment horizontal="left" vertical="center" wrapText="1"/>
    </xf>
    <xf numFmtId="6" fontId="24" fillId="3" borderId="12" xfId="0" applyNumberFormat="1" applyFont="1" applyFill="1" applyBorder="1" applyAlignment="1">
      <alignment horizontal="left" vertical="center" wrapText="1"/>
    </xf>
    <xf numFmtId="0" fontId="45" fillId="0" borderId="6" xfId="0" applyFont="1" applyBorder="1"/>
    <xf numFmtId="0" fontId="45" fillId="0" borderId="7" xfId="0" applyFont="1" applyBorder="1"/>
    <xf numFmtId="0" fontId="24" fillId="4" borderId="9" xfId="0" applyFont="1" applyFill="1" applyBorder="1" applyAlignment="1">
      <alignment horizontal="left" vertical="center" wrapText="1"/>
    </xf>
    <xf numFmtId="164" fontId="5" fillId="16" borderId="5" xfId="0" applyNumberFormat="1" applyFont="1" applyFill="1" applyBorder="1" applyAlignment="1">
      <alignment horizontal="center" vertical="center"/>
    </xf>
    <xf numFmtId="0" fontId="6" fillId="17" borderId="6" xfId="0" applyFont="1" applyFill="1" applyBorder="1"/>
    <xf numFmtId="0" fontId="6" fillId="17" borderId="7" xfId="0" applyFont="1" applyFill="1" applyBorder="1"/>
    <xf numFmtId="0" fontId="2" fillId="16" borderId="9" xfId="0" applyFont="1" applyFill="1" applyBorder="1" applyAlignment="1">
      <alignment horizontal="left" vertical="center"/>
    </xf>
    <xf numFmtId="0" fontId="6" fillId="17" borderId="3" xfId="0" applyFont="1" applyFill="1" applyBorder="1"/>
    <xf numFmtId="164" fontId="5" fillId="16" borderId="21" xfId="0" applyNumberFormat="1" applyFont="1" applyFill="1" applyBorder="1" applyAlignment="1">
      <alignment horizontal="left" vertical="center"/>
    </xf>
    <xf numFmtId="0" fontId="6" fillId="17" borderId="22" xfId="0" applyFont="1" applyFill="1" applyBorder="1"/>
    <xf numFmtId="0" fontId="6" fillId="17" borderId="23" xfId="0" applyFont="1" applyFill="1" applyBorder="1"/>
    <xf numFmtId="0" fontId="18" fillId="7" borderId="25" xfId="0" applyFont="1" applyFill="1" applyBorder="1" applyAlignment="1">
      <alignment horizontal="center" vertical="center"/>
    </xf>
    <xf numFmtId="0" fontId="6" fillId="0" borderId="17" xfId="0" applyFont="1" applyBorder="1"/>
    <xf numFmtId="166" fontId="38" fillId="10" borderId="25" xfId="0" applyNumberFormat="1" applyFont="1" applyFill="1" applyBorder="1" applyAlignment="1">
      <alignment horizontal="center" vertical="center"/>
    </xf>
    <xf numFmtId="0" fontId="39" fillId="0" borderId="17" xfId="0" applyFont="1" applyBorder="1"/>
    <xf numFmtId="0" fontId="17" fillId="14" borderId="25" xfId="0" applyFont="1" applyFill="1" applyBorder="1" applyAlignment="1">
      <alignment horizontal="center" vertical="center"/>
    </xf>
    <xf numFmtId="0" fontId="6" fillId="15" borderId="17" xfId="0" applyFont="1" applyFill="1" applyBorder="1"/>
    <xf numFmtId="166" fontId="3" fillId="0" borderId="25" xfId="0" applyNumberFormat="1" applyFont="1" applyBorder="1" applyAlignment="1">
      <alignment horizontal="center" vertical="center"/>
    </xf>
    <xf numFmtId="166" fontId="40" fillId="17" borderId="25" xfId="0" applyNumberFormat="1" applyFont="1" applyFill="1" applyBorder="1" applyAlignment="1">
      <alignment horizontal="center" vertical="center"/>
    </xf>
    <xf numFmtId="0" fontId="43" fillId="17" borderId="17" xfId="0" applyFont="1" applyFill="1" applyBorder="1"/>
    <xf numFmtId="0" fontId="16" fillId="0" borderId="25" xfId="0" applyFont="1" applyBorder="1" applyAlignment="1">
      <alignment horizontal="center" vertical="center"/>
    </xf>
    <xf numFmtId="0" fontId="11" fillId="16" borderId="9" xfId="0" applyFont="1" applyFill="1" applyBorder="1" applyAlignment="1">
      <alignment horizontal="center" vertical="center"/>
    </xf>
    <xf numFmtId="0" fontId="6" fillId="17" borderId="10" xfId="0" applyFont="1" applyFill="1" applyBorder="1"/>
    <xf numFmtId="0" fontId="35" fillId="16" borderId="9" xfId="0" applyFont="1" applyFill="1" applyBorder="1" applyAlignment="1">
      <alignment horizontal="center"/>
    </xf>
    <xf numFmtId="0" fontId="41" fillId="16" borderId="29" xfId="0" applyFont="1" applyFill="1" applyBorder="1" applyAlignment="1">
      <alignment horizontal="center" vertical="center"/>
    </xf>
    <xf numFmtId="0" fontId="6" fillId="17" borderId="30" xfId="0" applyFont="1" applyFill="1" applyBorder="1"/>
    <xf numFmtId="0" fontId="19" fillId="12" borderId="29" xfId="0" applyFont="1" applyFill="1" applyBorder="1" applyAlignment="1">
      <alignment horizontal="center" vertical="center"/>
    </xf>
    <xf numFmtId="0" fontId="45" fillId="0" borderId="30" xfId="0" applyFont="1" applyBorder="1"/>
    <xf numFmtId="0" fontId="42" fillId="14" borderId="29" xfId="0" applyFont="1" applyFill="1" applyBorder="1" applyAlignment="1">
      <alignment horizontal="right" vertical="center"/>
    </xf>
    <xf numFmtId="0" fontId="43" fillId="15" borderId="31" xfId="0" applyFont="1" applyFill="1" applyBorder="1"/>
    <xf numFmtId="0" fontId="29" fillId="14" borderId="29" xfId="0" applyFont="1" applyFill="1" applyBorder="1" applyAlignment="1">
      <alignment horizontal="center" vertical="center"/>
    </xf>
    <xf numFmtId="0" fontId="6" fillId="15" borderId="30" xfId="0" applyFont="1" applyFill="1" applyBorder="1"/>
    <xf numFmtId="0" fontId="6" fillId="15" borderId="31" xfId="0" applyFont="1" applyFill="1" applyBorder="1"/>
    <xf numFmtId="164" fontId="34" fillId="16" borderId="9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88"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auto="1"/>
      </font>
      <fill>
        <patternFill patternType="none"/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auto="1"/>
      </font>
      <fill>
        <patternFill patternType="solid">
          <fgColor rgb="FF7B7B7B"/>
          <bgColor rgb="FF7B7B7B"/>
        </patternFill>
      </fill>
    </dxf>
    <dxf>
      <font>
        <color auto="1"/>
      </font>
      <fill>
        <patternFill patternType="solid">
          <fgColor rgb="FFC1B83F"/>
          <bgColor rgb="FFC1B83F"/>
        </patternFill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solid">
          <fgColor rgb="FFFF5050"/>
          <bgColor rgb="FFFF5050"/>
        </patternFill>
      </fill>
    </dxf>
    <dxf>
      <font>
        <color auto="1"/>
      </font>
      <fill>
        <patternFill patternType="solid">
          <fgColor rgb="FF9DD325"/>
          <bgColor rgb="FF9DD325"/>
        </patternFill>
      </fill>
    </dxf>
    <dxf>
      <font>
        <color auto="1"/>
      </font>
      <fill>
        <patternFill patternType="solid">
          <fgColor rgb="FF595959"/>
          <bgColor rgb="FF595959"/>
        </patternFill>
      </fill>
    </dxf>
    <dxf>
      <font>
        <color auto="1"/>
      </font>
      <fill>
        <patternFill patternType="solid">
          <fgColor rgb="FF595959"/>
          <bgColor rgb="FF595959"/>
        </patternFill>
      </fill>
    </dxf>
    <dxf>
      <font>
        <color auto="1"/>
      </font>
      <fill>
        <patternFill patternType="solid">
          <fgColor rgb="FFFF5050"/>
          <bgColor rgb="FFFF5050"/>
        </patternFill>
      </fill>
    </dxf>
    <dxf>
      <font>
        <color auto="1"/>
      </font>
      <fill>
        <patternFill patternType="solid">
          <fgColor rgb="FF9DD325"/>
          <bgColor rgb="FF9DD325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434343"/>
      </font>
      <fill>
        <patternFill patternType="solid">
          <fgColor rgb="FFF3F3F3"/>
          <bgColor rgb="FFF3F3F3"/>
        </patternFill>
      </fill>
    </dxf>
    <dxf>
      <font>
        <color theme="0"/>
      </font>
      <fill>
        <patternFill patternType="none"/>
      </fill>
    </dxf>
    <dxf>
      <font>
        <color auto="1"/>
      </font>
      <fill>
        <patternFill patternType="solid">
          <fgColor rgb="FF7B7B7B"/>
          <bgColor rgb="FF7B7B7B"/>
        </patternFill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solid">
          <fgColor rgb="FFC1B83F"/>
          <bgColor rgb="FFC1B83F"/>
        </patternFill>
      </fill>
    </dxf>
    <dxf>
      <font>
        <color rgb="FFFFFFFF"/>
      </font>
      <fill>
        <patternFill patternType="solid">
          <fgColor rgb="FF666666"/>
          <bgColor rgb="FF666666"/>
        </patternFill>
      </fill>
    </dxf>
    <dxf>
      <font>
        <color rgb="FFFFFFFF"/>
      </font>
      <fill>
        <patternFill patternType="solid">
          <fgColor rgb="FFDD588D"/>
          <bgColor rgb="FFDD588D"/>
        </patternFill>
      </fill>
    </dxf>
    <dxf>
      <font>
        <color rgb="FFFFFFFF"/>
      </font>
      <fill>
        <patternFill patternType="solid">
          <fgColor rgb="FF64DADA"/>
          <bgColor rgb="FF64DADA"/>
        </patternFill>
      </fill>
    </dxf>
    <dxf>
      <font>
        <color rgb="FF77E3E3"/>
      </font>
      <fill>
        <patternFill patternType="none"/>
      </fill>
    </dxf>
    <dxf>
      <font>
        <color rgb="FFDD588D"/>
      </font>
      <fill>
        <patternFill patternType="none"/>
      </fill>
    </dxf>
    <dxf>
      <font>
        <color rgb="FF434343"/>
      </font>
      <fill>
        <patternFill patternType="none"/>
      </fill>
    </dxf>
    <dxf>
      <font>
        <b/>
        <color rgb="FF434343"/>
      </font>
      <fill>
        <patternFill patternType="none"/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434343"/>
      </font>
      <fill>
        <patternFill patternType="solid">
          <fgColor rgb="FFF3F3F3"/>
          <bgColor rgb="FFF3F3F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434343"/>
      </font>
      <fill>
        <patternFill patternType="solid">
          <fgColor rgb="FFF3F3F3"/>
          <bgColor rgb="FFF3F3F3"/>
        </patternFill>
      </fill>
    </dxf>
    <dxf>
      <font>
        <b/>
        <color rgb="FF434343"/>
      </font>
      <fill>
        <patternFill patternType="none"/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434343"/>
      </font>
      <fill>
        <patternFill patternType="solid">
          <fgColor rgb="FFF3F3F3"/>
          <bgColor rgb="FFF3F3F3"/>
        </patternFill>
      </fill>
    </dxf>
    <dxf>
      <font>
        <b/>
        <color rgb="FF434343"/>
      </font>
      <fill>
        <patternFill patternType="none"/>
      </fill>
    </dxf>
    <dxf>
      <font>
        <color rgb="FFFFFFFF"/>
      </font>
      <fill>
        <patternFill patternType="solid">
          <fgColor rgb="FFFF5050"/>
          <bgColor rgb="FFFF5050"/>
        </patternFill>
      </fill>
    </dxf>
    <dxf>
      <font>
        <color rgb="FFFFFFFF"/>
      </font>
      <fill>
        <patternFill patternType="solid">
          <fgColor rgb="FF9DD325"/>
          <bgColor rgb="FF9DD325"/>
        </patternFill>
      </fill>
    </dxf>
    <dxf>
      <font>
        <color auto="1"/>
      </font>
      <fill>
        <patternFill patternType="solid">
          <fgColor rgb="FF595959"/>
          <bgColor rgb="FF595959"/>
        </patternFill>
      </fill>
    </dxf>
    <dxf>
      <font>
        <b/>
        <color rgb="FF000000"/>
      </font>
      <fill>
        <patternFill patternType="none"/>
      </fill>
    </dxf>
    <dxf>
      <font>
        <color rgb="FF434343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color rgb="FF434343"/>
      </font>
      <fill>
        <patternFill patternType="none"/>
      </fill>
    </dxf>
    <dxf>
      <font>
        <color rgb="FF434343"/>
      </font>
      <fill>
        <patternFill patternType="none"/>
      </fill>
    </dxf>
    <dxf>
      <font>
        <color auto="1"/>
      </font>
      <fill>
        <patternFill patternType="solid">
          <fgColor rgb="FF92D050"/>
          <bgColor rgb="FF92D050"/>
        </patternFill>
      </fill>
    </dxf>
    <dxf>
      <font>
        <color auto="1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3">
    <tableStyle name="Instrucciones-style" pivot="0" count="3">
      <tableStyleElement type="headerRow" dxfId="87"/>
      <tableStyleElement type="firstRowStripe" dxfId="86"/>
      <tableStyleElement type="secondRowStripe" dxfId="85"/>
    </tableStyle>
    <tableStyle name="Simulador Coste Boda-style" pivot="0" count="3">
      <tableStyleElement type="headerRow" dxfId="84"/>
      <tableStyleElement type="firstRowStripe" dxfId="83"/>
      <tableStyleElement type="secondRowStripe" dxfId="82"/>
    </tableStyle>
    <tableStyle name="CheckList-style" pivot="0" count="3">
      <tableStyleElement type="headerRow" dxfId="81"/>
      <tableStyleElement type="firstRowStripe" dxfId="80"/>
      <tableStyleElement type="secondRowStripe" dxfId="79"/>
    </tableStyle>
    <tableStyle name="CheckList-style 2" pivot="0" count="3">
      <tableStyleElement type="headerRow" dxfId="78"/>
      <tableStyleElement type="firstRowStripe" dxfId="77"/>
      <tableStyleElement type="secondRowStripe" dxfId="76"/>
    </tableStyle>
    <tableStyle name="CheckList-style 3" pivot="0" count="3">
      <tableStyleElement type="headerRow" dxfId="75"/>
      <tableStyleElement type="firstRowStripe" dxfId="74"/>
      <tableStyleElement type="secondRowStripe" dxfId="73"/>
    </tableStyle>
    <tableStyle name="CheckList-style 4" pivot="0" count="3">
      <tableStyleElement type="headerRow" dxfId="72"/>
      <tableStyleElement type="firstRowStripe" dxfId="71"/>
      <tableStyleElement type="secondRowStripe" dxfId="70"/>
    </tableStyle>
    <tableStyle name="CheckList-style 5" pivot="0" count="3">
      <tableStyleElement type="headerRow" dxfId="69"/>
      <tableStyleElement type="firstRowStripe" dxfId="68"/>
      <tableStyleElement type="secondRowStripe" dxfId="67"/>
    </tableStyle>
    <tableStyle name="CheckList-style 6" pivot="0" count="3">
      <tableStyleElement type="headerRow" dxfId="66"/>
      <tableStyleElement type="firstRowStripe" dxfId="65"/>
      <tableStyleElement type="secondRowStripe" dxfId="64"/>
    </tableStyle>
    <tableStyle name="CheckList-style 7" pivot="0" count="3">
      <tableStyleElement type="headerRow" dxfId="63"/>
      <tableStyleElement type="firstRowStripe" dxfId="62"/>
      <tableStyleElement type="secondRowStripe" dxfId="61"/>
    </tableStyle>
    <tableStyle name="CheckList-style 8" pivot="0" count="3">
      <tableStyleElement type="headerRow" dxfId="60"/>
      <tableStyleElement type="firstRowStripe" dxfId="59"/>
      <tableStyleElement type="secondRowStripe" dxfId="58"/>
    </tableStyle>
    <tableStyle name="Gastos-style" pivot="0" count="3">
      <tableStyleElement type="headerRow" dxfId="57"/>
      <tableStyleElement type="firstRowStripe" dxfId="56"/>
      <tableStyleElement type="secondRowStripe" dxfId="55"/>
    </tableStyle>
    <tableStyle name="Invitados-style" pivot="0" count="3">
      <tableStyleElement type="headerRow" dxfId="54"/>
      <tableStyleElement type="firstRowStripe" dxfId="53"/>
      <tableStyleElement type="secondRowStripe" dxfId="52"/>
    </tableStyle>
    <tableStyle name="Nuestros Productos-style" pivot="0" count="3">
      <tableStyleElement type="headerRow" dxfId="51"/>
      <tableStyleElement type="firstRowStripe" dxfId="50"/>
      <tableStyleElement type="secondRowStripe" dxfId="49"/>
    </tableStyle>
  </tableStyles>
  <colors>
    <mruColors>
      <color rgb="FF618554"/>
      <color rgb="FFCE84B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_2" displayName="Table_2" ref="A8:E149">
  <tableColumns count="5">
    <tableColumn id="1" name="Columna1"/>
    <tableColumn id="2" name="Columna2"/>
    <tableColumn id="3" name="Columna3"/>
    <tableColumn id="4" name="Columna4"/>
    <tableColumn id="5" name="Columna5"/>
  </tableColumns>
  <tableStyleInfo name="Simulador Coste Boda-style" showFirstColumn="1" showLastColumn="1" showRowStripes="1" showColumnStripes="0"/>
</table>
</file>

<file path=xl/tables/table2.xml><?xml version="1.0" encoding="utf-8"?>
<table xmlns="http://schemas.openxmlformats.org/spreadsheetml/2006/main" id="11" name="Table_11" displayName="Table_11" ref="A5:I63">
  <tableColumns count="9">
    <tableColumn id="1" name="Columna1"/>
    <tableColumn id="2" name="Columna2"/>
    <tableColumn id="3" name="Columna3"/>
    <tableColumn id="4" name="Columna4"/>
    <tableColumn id="5" name="Columna5"/>
    <tableColumn id="6" name="Columna6"/>
    <tableColumn id="7" name="Columna7"/>
    <tableColumn id="8" name="Columna8"/>
    <tableColumn id="9" name="Columna9"/>
  </tableColumns>
  <tableStyleInfo name="Gastos-style" showFirstColumn="1" showLastColumn="1" showRowStripes="1" showColumnStripes="0"/>
</table>
</file>

<file path=xl/tables/table3.xml><?xml version="1.0" encoding="utf-8"?>
<table xmlns="http://schemas.openxmlformats.org/spreadsheetml/2006/main" id="12" name="Table_12" displayName="Table_12" ref="A3:M198">
  <tableColumns count="13">
    <tableColumn id="1" name="Nombre invitad@"/>
    <tableColumn id="2" name="Teléfono/email"/>
    <tableColumn id="3" name="Confirmado"/>
    <tableColumn id="4" name="Relación"/>
    <tableColumn id="5" name="Adulto/niño"/>
    <tableColumn id="6" name="Invitación enviada"/>
    <tableColumn id="7" name="Mesa"/>
    <tableColumn id="8" name="Especificaciones Alimenticias"/>
    <tableColumn id="9" name="Autobús Ida"/>
    <tableColumn id="10" name="Hora/Turno i"/>
    <tableColumn id="11" name="Autobús Vuelta"/>
    <tableColumn id="12" name="Hora/Turno v"/>
    <tableColumn id="13" name="Comentario"/>
  </tableColumns>
  <tableStyleInfo name="Invitados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62626"/>
    <outlinePr summaryBelow="0" summaryRight="0"/>
  </sheetPr>
  <dimension ref="A1:K149"/>
  <sheetViews>
    <sheetView showGridLines="0" tabSelected="1" workbookViewId="0">
      <pane ySplit="6" topLeftCell="A110" activePane="bottomLeft" state="frozen"/>
      <selection pane="bottomLeft" activeCell="A140" sqref="A140"/>
    </sheetView>
  </sheetViews>
  <sheetFormatPr baseColWidth="10" defaultColWidth="14.44140625" defaultRowHeight="14.4"/>
  <cols>
    <col min="1" max="1" width="65.44140625" customWidth="1"/>
    <col min="2" max="2" width="22.88671875" customWidth="1"/>
    <col min="3" max="4" width="16" hidden="1" customWidth="1"/>
    <col min="5" max="5" width="20" customWidth="1"/>
    <col min="6" max="11" width="12.5546875" customWidth="1"/>
  </cols>
  <sheetData>
    <row r="1" spans="1:11" ht="28.2">
      <c r="A1" s="119" t="s">
        <v>223</v>
      </c>
      <c r="B1" s="120"/>
      <c r="C1" s="120"/>
      <c r="D1" s="120"/>
      <c r="E1" s="121"/>
      <c r="F1" s="1"/>
      <c r="G1" s="1"/>
      <c r="H1" s="1"/>
      <c r="I1" s="1"/>
      <c r="J1" s="1"/>
      <c r="K1" s="1"/>
    </row>
    <row r="2" spans="1:11" ht="15">
      <c r="A2" s="106" t="s">
        <v>1</v>
      </c>
      <c r="B2" s="118">
        <v>100</v>
      </c>
      <c r="C2" s="112"/>
      <c r="D2" s="112"/>
      <c r="E2" s="113"/>
      <c r="F2" s="1"/>
      <c r="G2" s="1"/>
      <c r="H2" s="1"/>
      <c r="I2" s="1"/>
      <c r="J2" s="1"/>
      <c r="K2" s="1"/>
    </row>
    <row r="3" spans="1:11" ht="15">
      <c r="A3" s="104" t="s">
        <v>2</v>
      </c>
      <c r="B3" s="111">
        <v>35000</v>
      </c>
      <c r="C3" s="112"/>
      <c r="D3" s="112"/>
      <c r="E3" s="113"/>
      <c r="F3" s="1"/>
      <c r="G3" s="1"/>
      <c r="H3" s="1"/>
      <c r="I3" s="1"/>
      <c r="J3" s="1"/>
      <c r="K3" s="1"/>
    </row>
    <row r="4" spans="1:11" ht="17.399999999999999">
      <c r="A4" s="107" t="s">
        <v>3</v>
      </c>
      <c r="B4" s="114">
        <f>SUM(D9:D150)</f>
        <v>32150</v>
      </c>
      <c r="C4" s="112"/>
      <c r="D4" s="112"/>
      <c r="E4" s="113"/>
      <c r="F4" s="1"/>
      <c r="G4" s="1"/>
      <c r="H4" s="1"/>
      <c r="I4" s="1"/>
      <c r="J4" s="1"/>
      <c r="K4" s="1"/>
    </row>
    <row r="5" spans="1:11" ht="15">
      <c r="A5" s="105" t="s">
        <v>4</v>
      </c>
      <c r="B5" s="115">
        <v>328</v>
      </c>
      <c r="C5" s="116"/>
      <c r="D5" s="116"/>
      <c r="E5" s="117"/>
      <c r="F5" s="1"/>
      <c r="G5" s="1"/>
      <c r="H5" s="1"/>
      <c r="I5" s="1"/>
      <c r="J5" s="1"/>
      <c r="K5" s="1"/>
    </row>
    <row r="6" spans="1:11" ht="17.399999999999999">
      <c r="A6" s="88" t="s">
        <v>5</v>
      </c>
      <c r="B6" s="88" t="s">
        <v>6</v>
      </c>
      <c r="C6" s="91"/>
      <c r="D6" s="91"/>
      <c r="E6" s="91" t="s">
        <v>7</v>
      </c>
      <c r="F6" s="1"/>
      <c r="G6" s="1"/>
      <c r="H6" s="1"/>
      <c r="I6" s="1"/>
      <c r="J6" s="1"/>
      <c r="K6" s="1"/>
    </row>
    <row r="7" spans="1:11" ht="17.399999999999999">
      <c r="A7" s="108"/>
      <c r="B7" s="109"/>
      <c r="C7" s="110"/>
      <c r="D7" s="110"/>
      <c r="E7" s="110"/>
      <c r="F7" s="1"/>
      <c r="G7" s="1"/>
      <c r="H7" s="1"/>
      <c r="I7" s="1"/>
      <c r="J7" s="1"/>
      <c r="K7" s="1"/>
    </row>
    <row r="8" spans="1:11" ht="17.399999999999999" thickBot="1">
      <c r="A8" s="4" t="s">
        <v>0</v>
      </c>
      <c r="B8" s="5" t="s">
        <v>8</v>
      </c>
      <c r="C8" s="6" t="s">
        <v>9</v>
      </c>
      <c r="D8" s="6" t="s">
        <v>10</v>
      </c>
      <c r="E8" s="6" t="s">
        <v>11</v>
      </c>
      <c r="F8" s="1"/>
      <c r="G8" s="1"/>
      <c r="H8" s="1"/>
      <c r="I8" s="1"/>
      <c r="J8" s="1"/>
      <c r="K8" s="1"/>
    </row>
    <row r="9" spans="1:11" ht="17.399999999999999" thickBot="1">
      <c r="A9" s="7" t="s">
        <v>12</v>
      </c>
      <c r="B9" s="8">
        <v>8000</v>
      </c>
      <c r="C9" s="9">
        <f t="shared" ref="C9:C149" si="0">IF(E9="Sí",1,0)</f>
        <v>1</v>
      </c>
      <c r="D9" s="10">
        <f>'Simulador Coste Boda'!$B9*'Simulador Coste Boda'!$C9</f>
        <v>8000</v>
      </c>
      <c r="E9" s="11" t="s">
        <v>13</v>
      </c>
      <c r="F9" s="1"/>
      <c r="G9" s="1"/>
      <c r="H9" s="1"/>
      <c r="I9" s="1"/>
      <c r="J9" s="1"/>
      <c r="K9" s="1"/>
    </row>
    <row r="10" spans="1:11" ht="17.399999999999999" thickBot="1">
      <c r="A10" s="12" t="s">
        <v>14</v>
      </c>
      <c r="B10" s="13">
        <v>3000</v>
      </c>
      <c r="C10" s="9">
        <f t="shared" si="0"/>
        <v>1</v>
      </c>
      <c r="D10" s="14">
        <f>'Simulador Coste Boda'!$B10*'Simulador Coste Boda'!$C10</f>
        <v>3000</v>
      </c>
      <c r="E10" s="11" t="s">
        <v>13</v>
      </c>
      <c r="F10" s="1"/>
      <c r="G10" s="1"/>
      <c r="H10" s="1"/>
      <c r="I10" s="1"/>
      <c r="J10" s="1"/>
      <c r="K10" s="1"/>
    </row>
    <row r="11" spans="1:11" ht="16.8">
      <c r="A11" s="7" t="s">
        <v>15</v>
      </c>
      <c r="B11" s="8">
        <v>10000</v>
      </c>
      <c r="C11" s="9">
        <f t="shared" si="0"/>
        <v>1</v>
      </c>
      <c r="D11" s="14">
        <f>'Simulador Coste Boda'!$B11*'Simulador Coste Boda'!$C11</f>
        <v>10000</v>
      </c>
      <c r="E11" s="11" t="s">
        <v>13</v>
      </c>
      <c r="F11" s="1"/>
      <c r="G11" s="1"/>
      <c r="H11" s="1"/>
      <c r="I11" s="1"/>
      <c r="J11" s="1"/>
      <c r="K11" s="1"/>
    </row>
    <row r="12" spans="1:11" ht="16.8">
      <c r="A12" s="12" t="s">
        <v>16</v>
      </c>
      <c r="B12" s="13">
        <v>1800</v>
      </c>
      <c r="C12" s="9">
        <f t="shared" si="0"/>
        <v>1</v>
      </c>
      <c r="D12" s="14">
        <f>'Simulador Coste Boda'!$B12*'Simulador Coste Boda'!$C12</f>
        <v>1800</v>
      </c>
      <c r="E12" s="11" t="s">
        <v>13</v>
      </c>
      <c r="F12" s="1"/>
      <c r="G12" s="1"/>
      <c r="H12" s="1"/>
      <c r="I12" s="1"/>
      <c r="J12" s="1"/>
      <c r="K12" s="1"/>
    </row>
    <row r="13" spans="1:11" ht="16.8">
      <c r="A13" s="7" t="s">
        <v>17</v>
      </c>
      <c r="B13" s="8">
        <v>1800</v>
      </c>
      <c r="C13" s="15">
        <f t="shared" si="0"/>
        <v>1</v>
      </c>
      <c r="D13" s="14">
        <f>'Simulador Coste Boda'!$B13*'Simulador Coste Boda'!$C13</f>
        <v>1800</v>
      </c>
      <c r="E13" s="11" t="s">
        <v>13</v>
      </c>
      <c r="F13" s="1"/>
      <c r="G13" s="1"/>
      <c r="H13" s="1"/>
      <c r="I13" s="1"/>
      <c r="J13" s="1"/>
      <c r="K13" s="1"/>
    </row>
    <row r="14" spans="1:11" ht="16.8">
      <c r="A14" s="12" t="s">
        <v>18</v>
      </c>
      <c r="B14" s="13">
        <v>600</v>
      </c>
      <c r="C14" s="15">
        <f t="shared" si="0"/>
        <v>1</v>
      </c>
      <c r="D14" s="14">
        <f>'Simulador Coste Boda'!$B14*'Simulador Coste Boda'!$C14</f>
        <v>600</v>
      </c>
      <c r="E14" s="11" t="s">
        <v>13</v>
      </c>
      <c r="F14" s="1"/>
      <c r="G14" s="1"/>
      <c r="H14" s="1"/>
      <c r="I14" s="1"/>
      <c r="J14" s="1"/>
      <c r="K14" s="1"/>
    </row>
    <row r="15" spans="1:11" ht="16.8">
      <c r="A15" s="7" t="s">
        <v>19</v>
      </c>
      <c r="B15" s="8">
        <v>1400</v>
      </c>
      <c r="C15" s="15">
        <f t="shared" si="0"/>
        <v>1</v>
      </c>
      <c r="D15" s="14">
        <f>'Simulador Coste Boda'!$B15*'Simulador Coste Boda'!$C15</f>
        <v>1400</v>
      </c>
      <c r="E15" s="11" t="s">
        <v>13</v>
      </c>
      <c r="F15" s="1"/>
      <c r="G15" s="1"/>
      <c r="H15" s="1"/>
      <c r="I15" s="1"/>
      <c r="J15" s="1"/>
      <c r="K15" s="1"/>
    </row>
    <row r="16" spans="1:11" ht="16.8">
      <c r="A16" s="12" t="s">
        <v>20</v>
      </c>
      <c r="B16" s="13">
        <v>1500</v>
      </c>
      <c r="C16" s="15">
        <f t="shared" si="0"/>
        <v>1</v>
      </c>
      <c r="D16" s="14">
        <f>'Simulador Coste Boda'!$B16*'Simulador Coste Boda'!$C16</f>
        <v>1500</v>
      </c>
      <c r="E16" s="11" t="s">
        <v>13</v>
      </c>
      <c r="F16" s="1"/>
      <c r="G16" s="1"/>
      <c r="H16" s="1"/>
      <c r="I16" s="1"/>
      <c r="J16" s="1"/>
      <c r="K16" s="1"/>
    </row>
    <row r="17" spans="1:11" ht="16.8">
      <c r="A17" s="7" t="s">
        <v>21</v>
      </c>
      <c r="B17" s="8">
        <v>1200</v>
      </c>
      <c r="C17" s="15">
        <f t="shared" si="0"/>
        <v>1</v>
      </c>
      <c r="D17" s="14">
        <f>'Simulador Coste Boda'!$B17*'Simulador Coste Boda'!$C17</f>
        <v>1200</v>
      </c>
      <c r="E17" s="11" t="s">
        <v>13</v>
      </c>
      <c r="F17" s="1"/>
      <c r="G17" s="1"/>
      <c r="H17" s="1"/>
      <c r="I17" s="1"/>
      <c r="J17" s="1"/>
      <c r="K17" s="1"/>
    </row>
    <row r="18" spans="1:11" ht="16.8">
      <c r="A18" s="12" t="s">
        <v>22</v>
      </c>
      <c r="B18" s="13">
        <v>1000</v>
      </c>
      <c r="C18" s="15">
        <f t="shared" si="0"/>
        <v>1</v>
      </c>
      <c r="D18" s="14">
        <f>'Simulador Coste Boda'!$B18*'Simulador Coste Boda'!$C18</f>
        <v>1000</v>
      </c>
      <c r="E18" s="11" t="s">
        <v>13</v>
      </c>
      <c r="F18" s="1"/>
      <c r="G18" s="1"/>
      <c r="H18" s="1"/>
      <c r="I18" s="1"/>
      <c r="J18" s="1"/>
      <c r="K18" s="1"/>
    </row>
    <row r="19" spans="1:11" ht="16.8">
      <c r="A19" s="7" t="s">
        <v>23</v>
      </c>
      <c r="B19" s="8">
        <v>300</v>
      </c>
      <c r="C19" s="15">
        <f t="shared" si="0"/>
        <v>1</v>
      </c>
      <c r="D19" s="14">
        <f>'Simulador Coste Boda'!$B19*'Simulador Coste Boda'!$C19</f>
        <v>300</v>
      </c>
      <c r="E19" s="11" t="s">
        <v>13</v>
      </c>
      <c r="F19" s="1"/>
      <c r="G19" s="1"/>
      <c r="H19" s="1"/>
      <c r="I19" s="1"/>
      <c r="J19" s="1"/>
      <c r="K19" s="1"/>
    </row>
    <row r="20" spans="1:11" ht="16.8">
      <c r="A20" s="12" t="s">
        <v>24</v>
      </c>
      <c r="B20" s="13">
        <v>500</v>
      </c>
      <c r="C20" s="15">
        <f t="shared" si="0"/>
        <v>1</v>
      </c>
      <c r="D20" s="14">
        <f>'Simulador Coste Boda'!$B20*'Simulador Coste Boda'!$C20</f>
        <v>500</v>
      </c>
      <c r="E20" s="11" t="s">
        <v>13</v>
      </c>
      <c r="F20" s="1"/>
      <c r="G20" s="1"/>
      <c r="H20" s="1"/>
      <c r="I20" s="1"/>
      <c r="J20" s="1"/>
      <c r="K20" s="1"/>
    </row>
    <row r="21" spans="1:11" ht="16.8">
      <c r="A21" s="7" t="s">
        <v>25</v>
      </c>
      <c r="B21" s="8">
        <v>600</v>
      </c>
      <c r="C21" s="15">
        <f t="shared" si="0"/>
        <v>1</v>
      </c>
      <c r="D21" s="14">
        <f>'Simulador Coste Boda'!$B21*'Simulador Coste Boda'!$C21</f>
        <v>600</v>
      </c>
      <c r="E21" s="11" t="s">
        <v>13</v>
      </c>
      <c r="F21" s="1"/>
      <c r="G21" s="1"/>
      <c r="H21" s="1"/>
      <c r="I21" s="1"/>
      <c r="J21" s="1"/>
      <c r="K21" s="1"/>
    </row>
    <row r="22" spans="1:11" ht="16.8">
      <c r="A22" s="12" t="s">
        <v>26</v>
      </c>
      <c r="B22" s="13">
        <v>250</v>
      </c>
      <c r="C22" s="15">
        <f t="shared" si="0"/>
        <v>1</v>
      </c>
      <c r="D22" s="14">
        <f>'Simulador Coste Boda'!$B22*'Simulador Coste Boda'!$C22</f>
        <v>250</v>
      </c>
      <c r="E22" s="11" t="s">
        <v>13</v>
      </c>
      <c r="F22" s="1"/>
      <c r="G22" s="1"/>
      <c r="H22" s="1"/>
      <c r="I22" s="1"/>
      <c r="J22" s="1"/>
      <c r="K22" s="1"/>
    </row>
    <row r="23" spans="1:11" ht="16.8">
      <c r="A23" s="7" t="s">
        <v>27</v>
      </c>
      <c r="B23" s="8">
        <v>200</v>
      </c>
      <c r="C23" s="15">
        <f t="shared" si="0"/>
        <v>1</v>
      </c>
      <c r="D23" s="14">
        <f>'Simulador Coste Boda'!$B23*'Simulador Coste Boda'!$C23</f>
        <v>200</v>
      </c>
      <c r="E23" s="11" t="s">
        <v>13</v>
      </c>
      <c r="F23" s="1"/>
      <c r="G23" s="1"/>
      <c r="H23" s="1"/>
      <c r="I23" s="1"/>
      <c r="J23" s="1"/>
      <c r="K23" s="1"/>
    </row>
    <row r="24" spans="1:11" ht="16.8">
      <c r="A24" s="12" t="s">
        <v>28</v>
      </c>
      <c r="B24" s="13">
        <v>600</v>
      </c>
      <c r="C24" s="15">
        <f t="shared" si="0"/>
        <v>0</v>
      </c>
      <c r="D24" s="14">
        <f>'Simulador Coste Boda'!$B24*'Simulador Coste Boda'!$C24</f>
        <v>0</v>
      </c>
      <c r="E24" s="11" t="s">
        <v>29</v>
      </c>
      <c r="F24" s="1"/>
      <c r="G24" s="1"/>
      <c r="H24" s="1"/>
      <c r="I24" s="1"/>
      <c r="J24" s="1"/>
      <c r="K24" s="1"/>
    </row>
    <row r="25" spans="1:11" ht="16.8">
      <c r="A25" s="7" t="s">
        <v>30</v>
      </c>
      <c r="B25" s="8">
        <v>300</v>
      </c>
      <c r="C25" s="15">
        <f t="shared" si="0"/>
        <v>0</v>
      </c>
      <c r="D25" s="14">
        <f>'Simulador Coste Boda'!$B25*'Simulador Coste Boda'!$C25</f>
        <v>0</v>
      </c>
      <c r="E25" s="11" t="s">
        <v>29</v>
      </c>
      <c r="F25" s="1"/>
      <c r="G25" s="1"/>
      <c r="H25" s="1"/>
      <c r="I25" s="1"/>
      <c r="J25" s="1"/>
      <c r="K25" s="1"/>
    </row>
    <row r="26" spans="1:11" ht="16.8">
      <c r="A26" s="7" t="s">
        <v>31</v>
      </c>
      <c r="B26" s="8">
        <v>200</v>
      </c>
      <c r="C26" s="15">
        <f t="shared" si="0"/>
        <v>0</v>
      </c>
      <c r="D26" s="14">
        <f>'Simulador Coste Boda'!$B26*'Simulador Coste Boda'!$C26</f>
        <v>0</v>
      </c>
      <c r="E26" s="11" t="s">
        <v>29</v>
      </c>
      <c r="F26" s="1"/>
      <c r="G26" s="1"/>
      <c r="H26" s="1"/>
      <c r="I26" s="1"/>
      <c r="J26" s="1"/>
      <c r="K26" s="1"/>
    </row>
    <row r="27" spans="1:11" ht="16.8">
      <c r="A27" s="12" t="s">
        <v>32</v>
      </c>
      <c r="B27" s="13">
        <v>4000</v>
      </c>
      <c r="C27" s="15">
        <f t="shared" si="0"/>
        <v>0</v>
      </c>
      <c r="D27" s="14">
        <f>'Simulador Coste Boda'!$B27*'Simulador Coste Boda'!$C27</f>
        <v>0</v>
      </c>
      <c r="E27" s="11" t="s">
        <v>29</v>
      </c>
      <c r="F27" s="1"/>
      <c r="G27" s="1"/>
      <c r="H27" s="1"/>
      <c r="I27" s="1"/>
      <c r="J27" s="1"/>
      <c r="K27" s="1"/>
    </row>
    <row r="28" spans="1:11" ht="16.8">
      <c r="A28" s="7" t="s">
        <v>33</v>
      </c>
      <c r="B28" s="8">
        <v>500</v>
      </c>
      <c r="C28" s="15">
        <f t="shared" si="0"/>
        <v>0</v>
      </c>
      <c r="D28" s="14">
        <f>'Simulador Coste Boda'!$B28*'Simulador Coste Boda'!$C28</f>
        <v>0</v>
      </c>
      <c r="E28" s="11" t="s">
        <v>29</v>
      </c>
      <c r="F28" s="1"/>
      <c r="G28" s="1"/>
      <c r="H28" s="1"/>
      <c r="I28" s="1"/>
      <c r="J28" s="1"/>
      <c r="K28" s="1"/>
    </row>
    <row r="29" spans="1:11" ht="16.8">
      <c r="A29" s="12" t="s">
        <v>34</v>
      </c>
      <c r="B29" s="13">
        <v>100</v>
      </c>
      <c r="C29" s="15">
        <f t="shared" si="0"/>
        <v>0</v>
      </c>
      <c r="D29" s="14">
        <f>'Simulador Coste Boda'!$B29*'Simulador Coste Boda'!$C29</f>
        <v>0</v>
      </c>
      <c r="E29" s="11" t="s">
        <v>29</v>
      </c>
      <c r="F29" s="1"/>
      <c r="G29" s="1"/>
      <c r="H29" s="1"/>
      <c r="I29" s="1"/>
      <c r="J29" s="1"/>
      <c r="K29" s="1"/>
    </row>
    <row r="30" spans="1:11" ht="16.8">
      <c r="A30" s="7" t="s">
        <v>35</v>
      </c>
      <c r="B30" s="8">
        <v>150</v>
      </c>
      <c r="C30" s="15">
        <f t="shared" si="0"/>
        <v>0</v>
      </c>
      <c r="D30" s="14">
        <f>'Simulador Coste Boda'!$B30*'Simulador Coste Boda'!$C30</f>
        <v>0</v>
      </c>
      <c r="E30" s="11" t="s">
        <v>29</v>
      </c>
      <c r="F30" s="1"/>
      <c r="G30" s="1"/>
      <c r="H30" s="1"/>
      <c r="I30" s="1"/>
      <c r="J30" s="1"/>
      <c r="K30" s="1"/>
    </row>
    <row r="31" spans="1:11" ht="16.8">
      <c r="A31" s="12" t="s">
        <v>36</v>
      </c>
      <c r="B31" s="13">
        <v>400</v>
      </c>
      <c r="C31" s="15">
        <f t="shared" si="0"/>
        <v>0</v>
      </c>
      <c r="D31" s="14">
        <f>'Simulador Coste Boda'!$B31*'Simulador Coste Boda'!$C31</f>
        <v>0</v>
      </c>
      <c r="E31" s="11" t="s">
        <v>29</v>
      </c>
      <c r="F31" s="1"/>
      <c r="G31" s="1"/>
      <c r="H31" s="1"/>
      <c r="I31" s="1"/>
      <c r="J31" s="1"/>
      <c r="K31" s="1"/>
    </row>
    <row r="32" spans="1:11" ht="16.8">
      <c r="A32" s="7" t="s">
        <v>37</v>
      </c>
      <c r="B32" s="8">
        <v>200</v>
      </c>
      <c r="C32" s="15">
        <f t="shared" si="0"/>
        <v>0</v>
      </c>
      <c r="D32" s="14">
        <f>'Simulador Coste Boda'!$B32*'Simulador Coste Boda'!$C32</f>
        <v>0</v>
      </c>
      <c r="E32" s="11" t="s">
        <v>29</v>
      </c>
      <c r="F32" s="1"/>
      <c r="G32" s="1"/>
      <c r="H32" s="1"/>
      <c r="I32" s="1"/>
      <c r="J32" s="1"/>
      <c r="K32" s="1"/>
    </row>
    <row r="33" spans="1:11" ht="16.8">
      <c r="A33" s="12" t="s">
        <v>38</v>
      </c>
      <c r="B33" s="13">
        <v>50</v>
      </c>
      <c r="C33" s="15">
        <f t="shared" si="0"/>
        <v>0</v>
      </c>
      <c r="D33" s="14">
        <f>'Simulador Coste Boda'!$B33*'Simulador Coste Boda'!$C33</f>
        <v>0</v>
      </c>
      <c r="E33" s="11" t="s">
        <v>29</v>
      </c>
      <c r="F33" s="1"/>
      <c r="G33" s="1"/>
      <c r="H33" s="1"/>
      <c r="I33" s="1"/>
      <c r="J33" s="1"/>
      <c r="K33" s="1"/>
    </row>
    <row r="34" spans="1:11" ht="16.8">
      <c r="A34" s="7" t="s">
        <v>39</v>
      </c>
      <c r="B34" s="8">
        <v>150</v>
      </c>
      <c r="C34" s="15">
        <f t="shared" si="0"/>
        <v>0</v>
      </c>
      <c r="D34" s="14">
        <f>'Simulador Coste Boda'!$B34*'Simulador Coste Boda'!$C34</f>
        <v>0</v>
      </c>
      <c r="E34" s="11" t="s">
        <v>29</v>
      </c>
      <c r="F34" s="1"/>
      <c r="G34" s="1"/>
      <c r="H34" s="1"/>
      <c r="I34" s="1"/>
      <c r="J34" s="1"/>
      <c r="K34" s="1"/>
    </row>
    <row r="35" spans="1:11" ht="16.8">
      <c r="A35" s="12" t="s">
        <v>40</v>
      </c>
      <c r="B35" s="13">
        <v>180</v>
      </c>
      <c r="C35" s="15">
        <f t="shared" si="0"/>
        <v>0</v>
      </c>
      <c r="D35" s="14">
        <f>'Simulador Coste Boda'!$B35*'Simulador Coste Boda'!$C35</f>
        <v>0</v>
      </c>
      <c r="E35" s="11" t="s">
        <v>29</v>
      </c>
      <c r="F35" s="1"/>
      <c r="G35" s="1"/>
      <c r="H35" s="1"/>
      <c r="I35" s="1"/>
      <c r="J35" s="1"/>
      <c r="K35" s="1"/>
    </row>
    <row r="36" spans="1:11" ht="16.8">
      <c r="A36" s="7" t="s">
        <v>41</v>
      </c>
      <c r="B36" s="8">
        <v>240</v>
      </c>
      <c r="C36" s="15">
        <f t="shared" si="0"/>
        <v>0</v>
      </c>
      <c r="D36" s="14">
        <f>'Simulador Coste Boda'!$B36*'Simulador Coste Boda'!$C36</f>
        <v>0</v>
      </c>
      <c r="E36" s="11" t="s">
        <v>29</v>
      </c>
      <c r="F36" s="1"/>
      <c r="G36" s="1"/>
      <c r="H36" s="1"/>
      <c r="I36" s="1"/>
      <c r="J36" s="1"/>
      <c r="K36" s="1"/>
    </row>
    <row r="37" spans="1:11" ht="16.8">
      <c r="A37" s="12" t="s">
        <v>42</v>
      </c>
      <c r="B37" s="13">
        <v>80</v>
      </c>
      <c r="C37" s="15">
        <f t="shared" si="0"/>
        <v>0</v>
      </c>
      <c r="D37" s="14">
        <f>'Simulador Coste Boda'!$B37*'Simulador Coste Boda'!$C37</f>
        <v>0</v>
      </c>
      <c r="E37" s="11" t="s">
        <v>29</v>
      </c>
      <c r="F37" s="1"/>
      <c r="G37" s="1"/>
      <c r="H37" s="1"/>
      <c r="I37" s="1"/>
      <c r="J37" s="1"/>
      <c r="K37" s="1"/>
    </row>
    <row r="38" spans="1:11" ht="16.8">
      <c r="A38" s="7" t="s">
        <v>43</v>
      </c>
      <c r="B38" s="8">
        <v>80</v>
      </c>
      <c r="C38" s="15">
        <f t="shared" si="0"/>
        <v>0</v>
      </c>
      <c r="D38" s="14">
        <f>'Simulador Coste Boda'!$B38*'Simulador Coste Boda'!$C38</f>
        <v>0</v>
      </c>
      <c r="E38" s="11" t="s">
        <v>29</v>
      </c>
      <c r="F38" s="1"/>
      <c r="G38" s="1"/>
      <c r="H38" s="1"/>
      <c r="I38" s="1"/>
      <c r="J38" s="1"/>
      <c r="K38" s="1"/>
    </row>
    <row r="39" spans="1:11" ht="16.8">
      <c r="A39" s="12" t="s">
        <v>44</v>
      </c>
      <c r="B39" s="13">
        <v>100</v>
      </c>
      <c r="C39" s="15">
        <f t="shared" si="0"/>
        <v>0</v>
      </c>
      <c r="D39" s="14">
        <f>'Simulador Coste Boda'!$B39*'Simulador Coste Boda'!$C39</f>
        <v>0</v>
      </c>
      <c r="E39" s="11" t="s">
        <v>29</v>
      </c>
      <c r="F39" s="1"/>
      <c r="G39" s="1"/>
      <c r="H39" s="1"/>
      <c r="I39" s="1"/>
      <c r="J39" s="1"/>
      <c r="K39" s="1"/>
    </row>
    <row r="40" spans="1:11" ht="16.8">
      <c r="A40" s="12" t="s">
        <v>45</v>
      </c>
      <c r="B40" s="13">
        <v>250</v>
      </c>
      <c r="C40" s="15">
        <f t="shared" si="0"/>
        <v>0</v>
      </c>
      <c r="D40" s="14">
        <f>'Simulador Coste Boda'!$B40*'Simulador Coste Boda'!$C40</f>
        <v>0</v>
      </c>
      <c r="E40" s="11" t="s">
        <v>29</v>
      </c>
      <c r="F40" s="1"/>
      <c r="G40" s="1"/>
      <c r="H40" s="1"/>
      <c r="I40" s="1"/>
      <c r="J40" s="1"/>
      <c r="K40" s="1"/>
    </row>
    <row r="41" spans="1:11" ht="16.8">
      <c r="A41" s="7" t="s">
        <v>46</v>
      </c>
      <c r="B41" s="8">
        <v>1500</v>
      </c>
      <c r="C41" s="15">
        <f t="shared" si="0"/>
        <v>0</v>
      </c>
      <c r="D41" s="14">
        <f>'Simulador Coste Boda'!$B41*'Simulador Coste Boda'!$C41</f>
        <v>0</v>
      </c>
      <c r="E41" s="11" t="s">
        <v>29</v>
      </c>
      <c r="F41" s="1"/>
      <c r="G41" s="1"/>
      <c r="H41" s="1"/>
      <c r="I41" s="1"/>
      <c r="J41" s="1"/>
      <c r="K41" s="1"/>
    </row>
    <row r="42" spans="1:11" ht="16.8">
      <c r="A42" s="12" t="s">
        <v>47</v>
      </c>
      <c r="B42" s="13">
        <v>2000</v>
      </c>
      <c r="C42" s="15">
        <f t="shared" si="0"/>
        <v>0</v>
      </c>
      <c r="D42" s="14">
        <f>'Simulador Coste Boda'!$B42*'Simulador Coste Boda'!$C42</f>
        <v>0</v>
      </c>
      <c r="E42" s="11" t="s">
        <v>29</v>
      </c>
      <c r="F42" s="1"/>
      <c r="G42" s="1"/>
      <c r="H42" s="1"/>
      <c r="I42" s="1"/>
      <c r="J42" s="1"/>
      <c r="K42" s="1"/>
    </row>
    <row r="43" spans="1:11" ht="16.8">
      <c r="A43" s="7" t="s">
        <v>48</v>
      </c>
      <c r="B43" s="8">
        <v>400</v>
      </c>
      <c r="C43" s="15">
        <f t="shared" si="0"/>
        <v>0</v>
      </c>
      <c r="D43" s="14">
        <f>'Simulador Coste Boda'!$B43*'Simulador Coste Boda'!$C43</f>
        <v>0</v>
      </c>
      <c r="E43" s="11" t="s">
        <v>29</v>
      </c>
      <c r="F43" s="1"/>
      <c r="G43" s="1"/>
      <c r="H43" s="1"/>
      <c r="I43" s="1"/>
      <c r="J43" s="1"/>
      <c r="K43" s="1"/>
    </row>
    <row r="44" spans="1:11" ht="16.8">
      <c r="A44" s="12" t="s">
        <v>49</v>
      </c>
      <c r="B44" s="13">
        <v>300</v>
      </c>
      <c r="C44" s="15">
        <f t="shared" si="0"/>
        <v>0</v>
      </c>
      <c r="D44" s="14">
        <f>'Simulador Coste Boda'!$B44*'Simulador Coste Boda'!$C44</f>
        <v>0</v>
      </c>
      <c r="E44" s="11" t="s">
        <v>29</v>
      </c>
      <c r="F44" s="1"/>
      <c r="G44" s="1"/>
      <c r="H44" s="1"/>
      <c r="I44" s="1"/>
      <c r="J44" s="1"/>
      <c r="K44" s="1"/>
    </row>
    <row r="45" spans="1:11" ht="16.8">
      <c r="A45" s="7" t="s">
        <v>50</v>
      </c>
      <c r="B45" s="8">
        <v>400</v>
      </c>
      <c r="C45" s="15">
        <f t="shared" si="0"/>
        <v>0</v>
      </c>
      <c r="D45" s="14">
        <f>'Simulador Coste Boda'!$B45*'Simulador Coste Boda'!$C45</f>
        <v>0</v>
      </c>
      <c r="E45" s="11" t="s">
        <v>29</v>
      </c>
      <c r="F45" s="1"/>
      <c r="G45" s="1"/>
      <c r="H45" s="1"/>
      <c r="I45" s="1"/>
      <c r="J45" s="1"/>
      <c r="K45" s="1"/>
    </row>
    <row r="46" spans="1:11" ht="16.8">
      <c r="A46" s="12" t="s">
        <v>51</v>
      </c>
      <c r="B46" s="13">
        <v>7000</v>
      </c>
      <c r="C46" s="15">
        <f t="shared" si="0"/>
        <v>0</v>
      </c>
      <c r="D46" s="14">
        <f>'Simulador Coste Boda'!$B46*'Simulador Coste Boda'!$C46</f>
        <v>0</v>
      </c>
      <c r="E46" s="11" t="s">
        <v>29</v>
      </c>
      <c r="F46" s="1"/>
      <c r="G46" s="1"/>
      <c r="H46" s="1"/>
      <c r="I46" s="1"/>
      <c r="J46" s="1"/>
      <c r="K46" s="1"/>
    </row>
    <row r="47" spans="1:11" ht="16.8">
      <c r="A47" s="7" t="s">
        <v>52</v>
      </c>
      <c r="B47" s="8">
        <v>200</v>
      </c>
      <c r="C47" s="15">
        <f t="shared" si="0"/>
        <v>0</v>
      </c>
      <c r="D47" s="14">
        <f>'Simulador Coste Boda'!$B47*'Simulador Coste Boda'!$C47</f>
        <v>0</v>
      </c>
      <c r="E47" s="11" t="s">
        <v>29</v>
      </c>
      <c r="F47" s="1"/>
      <c r="G47" s="1"/>
      <c r="H47" s="1"/>
      <c r="I47" s="1"/>
      <c r="J47" s="1"/>
      <c r="K47" s="1"/>
    </row>
    <row r="48" spans="1:11" ht="16.8">
      <c r="A48" s="12" t="s">
        <v>53</v>
      </c>
      <c r="B48" s="13">
        <v>5000</v>
      </c>
      <c r="C48" s="15">
        <f t="shared" si="0"/>
        <v>0</v>
      </c>
      <c r="D48" s="14">
        <f>'Simulador Coste Boda'!$B48*'Simulador Coste Boda'!$C48</f>
        <v>0</v>
      </c>
      <c r="E48" s="11" t="s">
        <v>29</v>
      </c>
      <c r="F48" s="1"/>
      <c r="G48" s="1"/>
      <c r="H48" s="1"/>
      <c r="I48" s="1"/>
      <c r="J48" s="1"/>
      <c r="K48" s="1"/>
    </row>
    <row r="49" spans="1:11" ht="16.8">
      <c r="A49" s="7" t="s">
        <v>54</v>
      </c>
      <c r="B49" s="8">
        <v>8000</v>
      </c>
      <c r="C49" s="15">
        <f t="shared" si="0"/>
        <v>0</v>
      </c>
      <c r="D49" s="14">
        <f>'Simulador Coste Boda'!$B49*'Simulador Coste Boda'!$C49</f>
        <v>0</v>
      </c>
      <c r="E49" s="11" t="s">
        <v>29</v>
      </c>
      <c r="F49" s="1"/>
      <c r="G49" s="1"/>
      <c r="H49" s="1"/>
      <c r="I49" s="1"/>
      <c r="J49" s="1"/>
      <c r="K49" s="1"/>
    </row>
    <row r="50" spans="1:11" ht="16.8">
      <c r="A50" s="12" t="s">
        <v>55</v>
      </c>
      <c r="B50" s="13">
        <v>1000</v>
      </c>
      <c r="C50" s="15">
        <f t="shared" si="0"/>
        <v>0</v>
      </c>
      <c r="D50" s="14">
        <f>'Simulador Coste Boda'!$B50*'Simulador Coste Boda'!$C50</f>
        <v>0</v>
      </c>
      <c r="E50" s="11" t="s">
        <v>29</v>
      </c>
      <c r="F50" s="1"/>
      <c r="G50" s="1"/>
      <c r="H50" s="1"/>
      <c r="I50" s="1"/>
      <c r="J50" s="1"/>
      <c r="K50" s="1"/>
    </row>
    <row r="51" spans="1:11" ht="16.8">
      <c r="A51" s="7" t="s">
        <v>56</v>
      </c>
      <c r="B51" s="8">
        <v>2000</v>
      </c>
      <c r="C51" s="15">
        <f t="shared" si="0"/>
        <v>0</v>
      </c>
      <c r="D51" s="14">
        <f>'Simulador Coste Boda'!$B51*'Simulador Coste Boda'!$C51</f>
        <v>0</v>
      </c>
      <c r="E51" s="11" t="s">
        <v>29</v>
      </c>
      <c r="F51" s="1"/>
      <c r="G51" s="1"/>
      <c r="H51" s="1"/>
      <c r="I51" s="1"/>
      <c r="J51" s="1"/>
      <c r="K51" s="1"/>
    </row>
    <row r="52" spans="1:11" ht="16.8">
      <c r="A52" s="12" t="s">
        <v>57</v>
      </c>
      <c r="B52" s="13">
        <v>1500</v>
      </c>
      <c r="C52" s="15">
        <f t="shared" si="0"/>
        <v>0</v>
      </c>
      <c r="D52" s="14">
        <f>'Simulador Coste Boda'!$B52*'Simulador Coste Boda'!$C52</f>
        <v>0</v>
      </c>
      <c r="E52" s="11" t="s">
        <v>29</v>
      </c>
      <c r="F52" s="1"/>
      <c r="G52" s="1"/>
      <c r="H52" s="1"/>
      <c r="I52" s="1"/>
      <c r="J52" s="1"/>
      <c r="K52" s="1"/>
    </row>
    <row r="53" spans="1:11" ht="17.399999999999999" thickBot="1">
      <c r="A53" s="7" t="s">
        <v>58</v>
      </c>
      <c r="B53" s="8">
        <v>1500</v>
      </c>
      <c r="C53" s="15">
        <f t="shared" si="0"/>
        <v>0</v>
      </c>
      <c r="D53" s="14">
        <f>'Simulador Coste Boda'!$B53*'Simulador Coste Boda'!$C53</f>
        <v>0</v>
      </c>
      <c r="E53" s="11" t="s">
        <v>29</v>
      </c>
      <c r="F53" s="1"/>
      <c r="G53" s="1"/>
      <c r="H53" s="1"/>
      <c r="I53" s="1"/>
      <c r="J53" s="1"/>
      <c r="K53" s="1"/>
    </row>
    <row r="54" spans="1:11" ht="17.399999999999999" thickBot="1">
      <c r="A54" s="7" t="s">
        <v>59</v>
      </c>
      <c r="B54" s="8">
        <v>60</v>
      </c>
      <c r="C54" s="15">
        <f t="shared" si="0"/>
        <v>0</v>
      </c>
      <c r="D54" s="14">
        <f>'Simulador Coste Boda'!$B54*'Simulador Coste Boda'!$C54</f>
        <v>0</v>
      </c>
      <c r="E54" s="11" t="s">
        <v>29</v>
      </c>
      <c r="F54" s="1"/>
      <c r="G54" s="1"/>
      <c r="H54" s="1"/>
      <c r="I54" s="1"/>
      <c r="J54" s="1"/>
      <c r="K54" s="1"/>
    </row>
    <row r="55" spans="1:11" ht="16.8">
      <c r="A55" s="12" t="s">
        <v>60</v>
      </c>
      <c r="B55" s="13">
        <v>150</v>
      </c>
      <c r="C55" s="15">
        <f t="shared" si="0"/>
        <v>0</v>
      </c>
      <c r="D55" s="14">
        <f>'Simulador Coste Boda'!$B55*'Simulador Coste Boda'!$C55</f>
        <v>0</v>
      </c>
      <c r="E55" s="11" t="s">
        <v>29</v>
      </c>
      <c r="F55" s="1"/>
      <c r="G55" s="1"/>
      <c r="H55" s="1"/>
      <c r="I55" s="1"/>
      <c r="J55" s="1"/>
      <c r="K55" s="1"/>
    </row>
    <row r="56" spans="1:11" ht="16.8">
      <c r="A56" s="7" t="s">
        <v>61</v>
      </c>
      <c r="B56" s="8">
        <v>150</v>
      </c>
      <c r="C56" s="15">
        <f t="shared" si="0"/>
        <v>0</v>
      </c>
      <c r="D56" s="14">
        <f>'Simulador Coste Boda'!$B56*'Simulador Coste Boda'!$C56</f>
        <v>0</v>
      </c>
      <c r="E56" s="11" t="s">
        <v>29</v>
      </c>
      <c r="F56" s="1"/>
      <c r="G56" s="1"/>
      <c r="H56" s="1"/>
      <c r="I56" s="1"/>
      <c r="J56" s="1"/>
      <c r="K56" s="1"/>
    </row>
    <row r="57" spans="1:11" ht="16.8">
      <c r="A57" s="12" t="s">
        <v>62</v>
      </c>
      <c r="B57" s="13">
        <v>600</v>
      </c>
      <c r="C57" s="15">
        <f t="shared" si="0"/>
        <v>0</v>
      </c>
      <c r="D57" s="14">
        <f>'Simulador Coste Boda'!$B57*'Simulador Coste Boda'!$C57</f>
        <v>0</v>
      </c>
      <c r="E57" s="11" t="s">
        <v>29</v>
      </c>
      <c r="F57" s="1"/>
      <c r="G57" s="1"/>
      <c r="H57" s="1"/>
      <c r="I57" s="1"/>
      <c r="J57" s="1"/>
      <c r="K57" s="1"/>
    </row>
    <row r="58" spans="1:11" ht="16.8">
      <c r="A58" s="7" t="s">
        <v>63</v>
      </c>
      <c r="B58" s="8">
        <v>400</v>
      </c>
      <c r="C58" s="15">
        <f t="shared" si="0"/>
        <v>0</v>
      </c>
      <c r="D58" s="14">
        <f>'Simulador Coste Boda'!$B58*'Simulador Coste Boda'!$C58</f>
        <v>0</v>
      </c>
      <c r="E58" s="11" t="s">
        <v>29</v>
      </c>
      <c r="F58" s="1"/>
      <c r="G58" s="1"/>
      <c r="H58" s="1"/>
      <c r="I58" s="1"/>
      <c r="J58" s="1"/>
      <c r="K58" s="1"/>
    </row>
    <row r="59" spans="1:11" ht="16.8">
      <c r="A59" s="12" t="s">
        <v>64</v>
      </c>
      <c r="B59" s="13">
        <v>500</v>
      </c>
      <c r="C59" s="15">
        <f t="shared" si="0"/>
        <v>0</v>
      </c>
      <c r="D59" s="14">
        <f>'Simulador Coste Boda'!$B59*'Simulador Coste Boda'!$C59</f>
        <v>0</v>
      </c>
      <c r="E59" s="11" t="s">
        <v>29</v>
      </c>
      <c r="F59" s="1"/>
      <c r="G59" s="1"/>
      <c r="H59" s="1"/>
      <c r="I59" s="1"/>
      <c r="J59" s="1"/>
      <c r="K59" s="1"/>
    </row>
    <row r="60" spans="1:11" ht="16.8">
      <c r="A60" s="7" t="s">
        <v>65</v>
      </c>
      <c r="B60" s="8">
        <v>50</v>
      </c>
      <c r="C60" s="15">
        <f t="shared" si="0"/>
        <v>0</v>
      </c>
      <c r="D60" s="14">
        <f>'Simulador Coste Boda'!$B60*'Simulador Coste Boda'!$C60</f>
        <v>0</v>
      </c>
      <c r="E60" s="11" t="s">
        <v>29</v>
      </c>
      <c r="F60" s="1"/>
      <c r="G60" s="1"/>
      <c r="H60" s="1"/>
      <c r="I60" s="1"/>
      <c r="J60" s="1"/>
      <c r="K60" s="1"/>
    </row>
    <row r="61" spans="1:11" ht="16.8">
      <c r="A61" s="12" t="s">
        <v>66</v>
      </c>
      <c r="B61" s="13">
        <v>500</v>
      </c>
      <c r="C61" s="15">
        <f t="shared" si="0"/>
        <v>0</v>
      </c>
      <c r="D61" s="14">
        <f>'Simulador Coste Boda'!$B61*'Simulador Coste Boda'!$C61</f>
        <v>0</v>
      </c>
      <c r="E61" s="11" t="s">
        <v>29</v>
      </c>
      <c r="F61" s="1"/>
      <c r="G61" s="1"/>
      <c r="H61" s="1"/>
      <c r="I61" s="1"/>
      <c r="J61" s="1"/>
      <c r="K61" s="1"/>
    </row>
    <row r="62" spans="1:11" ht="16.8">
      <c r="A62" s="7" t="s">
        <v>67</v>
      </c>
      <c r="B62" s="8">
        <v>300</v>
      </c>
      <c r="C62" s="15">
        <f t="shared" si="0"/>
        <v>0</v>
      </c>
      <c r="D62" s="14">
        <f>'Simulador Coste Boda'!$B62*'Simulador Coste Boda'!$C62</f>
        <v>0</v>
      </c>
      <c r="E62" s="11" t="s">
        <v>29</v>
      </c>
      <c r="F62" s="1"/>
      <c r="G62" s="1"/>
      <c r="H62" s="1"/>
      <c r="I62" s="1"/>
      <c r="J62" s="1"/>
      <c r="K62" s="1"/>
    </row>
    <row r="63" spans="1:11" ht="16.8">
      <c r="A63" s="12" t="s">
        <v>68</v>
      </c>
      <c r="B63" s="13">
        <v>300</v>
      </c>
      <c r="C63" s="15">
        <f t="shared" si="0"/>
        <v>0</v>
      </c>
      <c r="D63" s="14">
        <f>'Simulador Coste Boda'!$B63*'Simulador Coste Boda'!$C63</f>
        <v>0</v>
      </c>
      <c r="E63" s="11" t="s">
        <v>29</v>
      </c>
      <c r="F63" s="1"/>
      <c r="G63" s="1"/>
      <c r="H63" s="1"/>
      <c r="I63" s="1"/>
      <c r="J63" s="1"/>
      <c r="K63" s="1"/>
    </row>
    <row r="64" spans="1:11" ht="16.8">
      <c r="A64" s="7" t="s">
        <v>69</v>
      </c>
      <c r="B64" s="8">
        <v>150</v>
      </c>
      <c r="C64" s="15">
        <f t="shared" si="0"/>
        <v>0</v>
      </c>
      <c r="D64" s="14">
        <f>'Simulador Coste Boda'!$B64*'Simulador Coste Boda'!$C64</f>
        <v>0</v>
      </c>
      <c r="E64" s="11" t="s">
        <v>29</v>
      </c>
      <c r="F64" s="1"/>
      <c r="G64" s="1"/>
      <c r="H64" s="1"/>
      <c r="I64" s="1"/>
      <c r="J64" s="1"/>
      <c r="K64" s="1"/>
    </row>
    <row r="65" spans="1:11" ht="16.8">
      <c r="A65" s="12" t="s">
        <v>70</v>
      </c>
      <c r="B65" s="13">
        <v>1200</v>
      </c>
      <c r="C65" s="15">
        <f t="shared" si="0"/>
        <v>0</v>
      </c>
      <c r="D65" s="14">
        <f>'Simulador Coste Boda'!$B65*'Simulador Coste Boda'!$C65</f>
        <v>0</v>
      </c>
      <c r="E65" s="11" t="s">
        <v>29</v>
      </c>
      <c r="F65" s="1"/>
      <c r="G65" s="1"/>
      <c r="H65" s="1"/>
      <c r="I65" s="1"/>
      <c r="J65" s="1"/>
      <c r="K65" s="1"/>
    </row>
    <row r="66" spans="1:11" ht="17.399999999999999" thickBot="1">
      <c r="A66" s="7" t="s">
        <v>71</v>
      </c>
      <c r="B66" s="8">
        <v>600</v>
      </c>
      <c r="C66" s="15">
        <f t="shared" si="0"/>
        <v>0</v>
      </c>
      <c r="D66" s="14">
        <f>'Simulador Coste Boda'!$B66*'Simulador Coste Boda'!$C66</f>
        <v>0</v>
      </c>
      <c r="E66" s="11" t="s">
        <v>29</v>
      </c>
      <c r="F66" s="1"/>
      <c r="G66" s="1"/>
      <c r="H66" s="1"/>
      <c r="I66" s="1"/>
      <c r="J66" s="1"/>
      <c r="K66" s="1"/>
    </row>
    <row r="67" spans="1:11" ht="17.399999999999999" thickBot="1">
      <c r="A67" s="7" t="s">
        <v>72</v>
      </c>
      <c r="B67" s="8">
        <v>700</v>
      </c>
      <c r="C67" s="15">
        <f t="shared" si="0"/>
        <v>0</v>
      </c>
      <c r="D67" s="14">
        <f>'Simulador Coste Boda'!$B67*'Simulador Coste Boda'!$C67</f>
        <v>0</v>
      </c>
      <c r="E67" s="11" t="s">
        <v>29</v>
      </c>
      <c r="F67" s="1"/>
      <c r="G67" s="1"/>
      <c r="H67" s="1"/>
      <c r="I67" s="1"/>
      <c r="J67" s="1"/>
      <c r="K67" s="1"/>
    </row>
    <row r="68" spans="1:11" ht="16.8">
      <c r="A68" s="12" t="s">
        <v>73</v>
      </c>
      <c r="B68" s="13">
        <v>400</v>
      </c>
      <c r="C68" s="15">
        <f t="shared" si="0"/>
        <v>0</v>
      </c>
      <c r="D68" s="14">
        <f>'Simulador Coste Boda'!$B68*'Simulador Coste Boda'!$C68</f>
        <v>0</v>
      </c>
      <c r="E68" s="11" t="s">
        <v>29</v>
      </c>
      <c r="F68" s="1"/>
      <c r="G68" s="1"/>
      <c r="H68" s="1"/>
      <c r="I68" s="1"/>
      <c r="J68" s="1"/>
      <c r="K68" s="1"/>
    </row>
    <row r="69" spans="1:11" ht="16.8">
      <c r="A69" s="7" t="s">
        <v>74</v>
      </c>
      <c r="B69" s="8">
        <v>800</v>
      </c>
      <c r="C69" s="15">
        <f t="shared" si="0"/>
        <v>0</v>
      </c>
      <c r="D69" s="14">
        <f>'Simulador Coste Boda'!$B69*'Simulador Coste Boda'!$C69</f>
        <v>0</v>
      </c>
      <c r="E69" s="11" t="s">
        <v>29</v>
      </c>
      <c r="F69" s="1"/>
      <c r="G69" s="1"/>
      <c r="H69" s="1"/>
      <c r="I69" s="1"/>
      <c r="J69" s="1"/>
      <c r="K69" s="1"/>
    </row>
    <row r="70" spans="1:11" ht="16.8">
      <c r="A70" s="12" t="s">
        <v>75</v>
      </c>
      <c r="B70" s="13">
        <v>800</v>
      </c>
      <c r="C70" s="15">
        <f t="shared" si="0"/>
        <v>0</v>
      </c>
      <c r="D70" s="14">
        <f>'Simulador Coste Boda'!$B70*'Simulador Coste Boda'!$C70</f>
        <v>0</v>
      </c>
      <c r="E70" s="11" t="s">
        <v>29</v>
      </c>
      <c r="F70" s="1"/>
      <c r="G70" s="1"/>
      <c r="H70" s="1"/>
      <c r="I70" s="1"/>
      <c r="J70" s="1"/>
      <c r="K70" s="1"/>
    </row>
    <row r="71" spans="1:11" ht="17.399999999999999" thickBot="1">
      <c r="A71" s="7" t="s">
        <v>76</v>
      </c>
      <c r="B71" s="8">
        <v>200</v>
      </c>
      <c r="C71" s="15">
        <f t="shared" si="0"/>
        <v>0</v>
      </c>
      <c r="D71" s="14">
        <f>'Simulador Coste Boda'!$B71*'Simulador Coste Boda'!$C71</f>
        <v>0</v>
      </c>
      <c r="E71" s="11" t="s">
        <v>29</v>
      </c>
      <c r="F71" s="1"/>
      <c r="G71" s="1"/>
      <c r="H71" s="1"/>
      <c r="I71" s="1"/>
      <c r="J71" s="1"/>
      <c r="K71" s="1"/>
    </row>
    <row r="72" spans="1:11" ht="17.399999999999999" thickBot="1">
      <c r="A72" s="12" t="s">
        <v>77</v>
      </c>
      <c r="B72" s="13">
        <v>1500</v>
      </c>
      <c r="C72" s="15">
        <f t="shared" si="0"/>
        <v>0</v>
      </c>
      <c r="D72" s="14">
        <f>'Simulador Coste Boda'!$B72*'Simulador Coste Boda'!$C72</f>
        <v>0</v>
      </c>
      <c r="E72" s="11" t="s">
        <v>29</v>
      </c>
      <c r="F72" s="1"/>
      <c r="G72" s="1"/>
      <c r="H72" s="1"/>
      <c r="I72" s="1"/>
      <c r="J72" s="1"/>
      <c r="K72" s="1"/>
    </row>
    <row r="73" spans="1:11" ht="16.8">
      <c r="A73" s="7" t="s">
        <v>78</v>
      </c>
      <c r="B73" s="8">
        <v>200</v>
      </c>
      <c r="C73" s="15">
        <f t="shared" si="0"/>
        <v>0</v>
      </c>
      <c r="D73" s="14">
        <f>'Simulador Coste Boda'!$B73*'Simulador Coste Boda'!$C73</f>
        <v>0</v>
      </c>
      <c r="E73" s="11" t="s">
        <v>29</v>
      </c>
      <c r="F73" s="1"/>
      <c r="G73" s="1"/>
      <c r="H73" s="1"/>
      <c r="I73" s="1"/>
      <c r="J73" s="1"/>
      <c r="K73" s="1"/>
    </row>
    <row r="74" spans="1:11" ht="16.8">
      <c r="A74" s="12" t="s">
        <v>79</v>
      </c>
      <c r="B74" s="13">
        <v>0</v>
      </c>
      <c r="C74" s="15">
        <f t="shared" si="0"/>
        <v>0</v>
      </c>
      <c r="D74" s="14">
        <f>'Simulador Coste Boda'!$B74*'Simulador Coste Boda'!$C74</f>
        <v>0</v>
      </c>
      <c r="E74" s="11" t="s">
        <v>29</v>
      </c>
      <c r="F74" s="1"/>
      <c r="G74" s="1"/>
      <c r="H74" s="1"/>
      <c r="I74" s="1"/>
      <c r="J74" s="1"/>
      <c r="K74" s="1"/>
    </row>
    <row r="75" spans="1:11" ht="16.8">
      <c r="A75" s="7" t="s">
        <v>80</v>
      </c>
      <c r="B75" s="8">
        <v>100</v>
      </c>
      <c r="C75" s="15">
        <f t="shared" si="0"/>
        <v>0</v>
      </c>
      <c r="D75" s="14">
        <f>'Simulador Coste Boda'!$B75*'Simulador Coste Boda'!$C75</f>
        <v>0</v>
      </c>
      <c r="E75" s="11" t="s">
        <v>29</v>
      </c>
      <c r="F75" s="1"/>
      <c r="G75" s="1"/>
      <c r="H75" s="1"/>
      <c r="I75" s="1"/>
      <c r="J75" s="1"/>
      <c r="K75" s="1"/>
    </row>
    <row r="76" spans="1:11" ht="16.8">
      <c r="A76" s="12" t="s">
        <v>81</v>
      </c>
      <c r="B76" s="13">
        <v>200</v>
      </c>
      <c r="C76" s="15">
        <f t="shared" si="0"/>
        <v>0</v>
      </c>
      <c r="D76" s="14">
        <f>'Simulador Coste Boda'!$B76*'Simulador Coste Boda'!$C76</f>
        <v>0</v>
      </c>
      <c r="E76" s="11" t="s">
        <v>29</v>
      </c>
      <c r="F76" s="1"/>
      <c r="G76" s="1"/>
      <c r="H76" s="1"/>
      <c r="I76" s="1"/>
      <c r="J76" s="1"/>
      <c r="K76" s="1"/>
    </row>
    <row r="77" spans="1:11" ht="16.8">
      <c r="A77" s="7" t="s">
        <v>82</v>
      </c>
      <c r="B77" s="8">
        <v>100</v>
      </c>
      <c r="C77" s="15">
        <f t="shared" si="0"/>
        <v>0</v>
      </c>
      <c r="D77" s="14">
        <f>'Simulador Coste Boda'!$B77*'Simulador Coste Boda'!$C77</f>
        <v>0</v>
      </c>
      <c r="E77" s="11" t="s">
        <v>29</v>
      </c>
      <c r="F77" s="1"/>
      <c r="G77" s="1"/>
      <c r="H77" s="1"/>
      <c r="I77" s="1"/>
      <c r="J77" s="1"/>
      <c r="K77" s="1"/>
    </row>
    <row r="78" spans="1:11" ht="16.8">
      <c r="A78" s="12" t="s">
        <v>83</v>
      </c>
      <c r="B78" s="13">
        <v>300</v>
      </c>
      <c r="C78" s="15">
        <f t="shared" si="0"/>
        <v>0</v>
      </c>
      <c r="D78" s="14">
        <f>'Simulador Coste Boda'!$B78*'Simulador Coste Boda'!$C78</f>
        <v>0</v>
      </c>
      <c r="E78" s="11" t="s">
        <v>29</v>
      </c>
      <c r="F78" s="1"/>
      <c r="G78" s="1"/>
      <c r="H78" s="1"/>
      <c r="I78" s="1"/>
      <c r="J78" s="1"/>
      <c r="K78" s="1"/>
    </row>
    <row r="79" spans="1:11" ht="16.8">
      <c r="A79" s="7" t="s">
        <v>84</v>
      </c>
      <c r="B79" s="8">
        <v>300</v>
      </c>
      <c r="C79" s="15">
        <f t="shared" si="0"/>
        <v>0</v>
      </c>
      <c r="D79" s="14">
        <f>'Simulador Coste Boda'!$B79*'Simulador Coste Boda'!$C79</f>
        <v>0</v>
      </c>
      <c r="E79" s="11" t="s">
        <v>29</v>
      </c>
      <c r="F79" s="1"/>
      <c r="G79" s="1"/>
      <c r="H79" s="1"/>
      <c r="I79" s="1"/>
      <c r="J79" s="1"/>
      <c r="K79" s="1"/>
    </row>
    <row r="80" spans="1:11" ht="16.8">
      <c r="A80" s="12" t="s">
        <v>85</v>
      </c>
      <c r="B80" s="13">
        <v>70</v>
      </c>
      <c r="C80" s="15">
        <f t="shared" si="0"/>
        <v>0</v>
      </c>
      <c r="D80" s="14">
        <f>'Simulador Coste Boda'!$B80*'Simulador Coste Boda'!$C80</f>
        <v>0</v>
      </c>
      <c r="E80" s="11" t="s">
        <v>29</v>
      </c>
      <c r="F80" s="1"/>
      <c r="G80" s="1"/>
      <c r="H80" s="1"/>
      <c r="I80" s="1"/>
      <c r="J80" s="1"/>
      <c r="K80" s="1"/>
    </row>
    <row r="81" spans="1:11" ht="17.399999999999999" thickBot="1">
      <c r="A81" s="7" t="s">
        <v>86</v>
      </c>
      <c r="B81" s="8">
        <v>150</v>
      </c>
      <c r="C81" s="15">
        <f t="shared" si="0"/>
        <v>0</v>
      </c>
      <c r="D81" s="14">
        <f>'Simulador Coste Boda'!$B81*'Simulador Coste Boda'!$C81</f>
        <v>0</v>
      </c>
      <c r="E81" s="11" t="s">
        <v>29</v>
      </c>
      <c r="F81" s="1"/>
      <c r="G81" s="1"/>
      <c r="H81" s="1"/>
      <c r="I81" s="1"/>
      <c r="J81" s="1"/>
      <c r="K81" s="1"/>
    </row>
    <row r="82" spans="1:11" ht="17.399999999999999" thickBot="1">
      <c r="A82" s="7" t="s">
        <v>87</v>
      </c>
      <c r="B82" s="8">
        <v>200</v>
      </c>
      <c r="C82" s="15">
        <f t="shared" si="0"/>
        <v>0</v>
      </c>
      <c r="D82" s="14">
        <f>'Simulador Coste Boda'!$B82*'Simulador Coste Boda'!$C82</f>
        <v>0</v>
      </c>
      <c r="E82" s="11" t="s">
        <v>29</v>
      </c>
      <c r="F82" s="1"/>
      <c r="G82" s="1"/>
      <c r="H82" s="1"/>
      <c r="I82" s="1"/>
      <c r="J82" s="1"/>
      <c r="K82" s="1"/>
    </row>
    <row r="83" spans="1:11" ht="17.399999999999999" thickBot="1">
      <c r="A83" s="12" t="s">
        <v>88</v>
      </c>
      <c r="B83" s="13">
        <v>500</v>
      </c>
      <c r="C83" s="15">
        <f t="shared" si="0"/>
        <v>0</v>
      </c>
      <c r="D83" s="14">
        <f>'Simulador Coste Boda'!$B83*'Simulador Coste Boda'!$C83</f>
        <v>0</v>
      </c>
      <c r="E83" s="11" t="s">
        <v>29</v>
      </c>
      <c r="F83" s="1"/>
      <c r="G83" s="1"/>
      <c r="H83" s="1"/>
      <c r="I83" s="1"/>
      <c r="J83" s="1"/>
      <c r="K83" s="1"/>
    </row>
    <row r="84" spans="1:11" ht="17.399999999999999" thickBot="1">
      <c r="A84" s="12" t="s">
        <v>89</v>
      </c>
      <c r="B84" s="13">
        <v>500</v>
      </c>
      <c r="C84" s="15">
        <f t="shared" si="0"/>
        <v>0</v>
      </c>
      <c r="D84" s="14">
        <f>'Simulador Coste Boda'!$B84*'Simulador Coste Boda'!$C84</f>
        <v>0</v>
      </c>
      <c r="E84" s="11" t="s">
        <v>29</v>
      </c>
      <c r="F84" s="1"/>
      <c r="G84" s="1"/>
      <c r="H84" s="1"/>
      <c r="I84" s="1"/>
      <c r="J84" s="1"/>
      <c r="K84" s="1"/>
    </row>
    <row r="85" spans="1:11" ht="17.399999999999999" thickBot="1">
      <c r="A85" s="7" t="s">
        <v>90</v>
      </c>
      <c r="B85" s="8">
        <v>300</v>
      </c>
      <c r="C85" s="15">
        <f t="shared" si="0"/>
        <v>0</v>
      </c>
      <c r="D85" s="14">
        <f>'Simulador Coste Boda'!$B85*'Simulador Coste Boda'!$C85</f>
        <v>0</v>
      </c>
      <c r="E85" s="11" t="s">
        <v>29</v>
      </c>
      <c r="F85" s="1"/>
      <c r="G85" s="1"/>
      <c r="H85" s="1"/>
      <c r="I85" s="1"/>
      <c r="J85" s="1"/>
      <c r="K85" s="1"/>
    </row>
    <row r="86" spans="1:11" ht="17.399999999999999" thickBot="1">
      <c r="A86" s="12" t="s">
        <v>91</v>
      </c>
      <c r="B86" s="13">
        <v>500</v>
      </c>
      <c r="C86" s="15">
        <f t="shared" si="0"/>
        <v>0</v>
      </c>
      <c r="D86" s="14">
        <f>'Simulador Coste Boda'!$B86*'Simulador Coste Boda'!$C86</f>
        <v>0</v>
      </c>
      <c r="E86" s="11" t="s">
        <v>29</v>
      </c>
      <c r="F86" s="1"/>
      <c r="G86" s="1"/>
      <c r="H86" s="1"/>
      <c r="I86" s="1"/>
      <c r="J86" s="1"/>
      <c r="K86" s="1"/>
    </row>
    <row r="87" spans="1:11" ht="17.399999999999999" thickBot="1">
      <c r="A87" s="7" t="s">
        <v>92</v>
      </c>
      <c r="B87" s="8">
        <v>500</v>
      </c>
      <c r="C87" s="15">
        <f t="shared" si="0"/>
        <v>0</v>
      </c>
      <c r="D87" s="14">
        <f>'Simulador Coste Boda'!$B87*'Simulador Coste Boda'!$C87</f>
        <v>0</v>
      </c>
      <c r="E87" s="11" t="s">
        <v>29</v>
      </c>
      <c r="F87" s="1"/>
      <c r="G87" s="1"/>
      <c r="H87" s="1"/>
      <c r="I87" s="1"/>
      <c r="J87" s="1"/>
      <c r="K87" s="1"/>
    </row>
    <row r="88" spans="1:11" ht="17.399999999999999" thickBot="1">
      <c r="A88" s="7" t="s">
        <v>93</v>
      </c>
      <c r="B88" s="8">
        <v>10000</v>
      </c>
      <c r="C88" s="15">
        <f t="shared" si="0"/>
        <v>0</v>
      </c>
      <c r="D88" s="14">
        <f>'Simulador Coste Boda'!$B88*'Simulador Coste Boda'!$C88</f>
        <v>0</v>
      </c>
      <c r="E88" s="11" t="s">
        <v>29</v>
      </c>
      <c r="F88" s="1"/>
      <c r="G88" s="1"/>
      <c r="H88" s="1"/>
      <c r="I88" s="1"/>
      <c r="J88" s="1"/>
      <c r="K88" s="1"/>
    </row>
    <row r="89" spans="1:11" ht="16.8">
      <c r="A89" s="12" t="s">
        <v>94</v>
      </c>
      <c r="B89" s="13">
        <v>200</v>
      </c>
      <c r="C89" s="15">
        <f t="shared" si="0"/>
        <v>0</v>
      </c>
      <c r="D89" s="14">
        <f>'Simulador Coste Boda'!$B89*'Simulador Coste Boda'!$C89</f>
        <v>0</v>
      </c>
      <c r="E89" s="11" t="s">
        <v>29</v>
      </c>
      <c r="F89" s="1"/>
      <c r="G89" s="1"/>
      <c r="H89" s="1"/>
      <c r="I89" s="1"/>
      <c r="J89" s="1"/>
      <c r="K89" s="1"/>
    </row>
    <row r="90" spans="1:11" ht="16.8">
      <c r="A90" s="7" t="s">
        <v>95</v>
      </c>
      <c r="B90" s="8">
        <v>300</v>
      </c>
      <c r="C90" s="15">
        <f t="shared" si="0"/>
        <v>0</v>
      </c>
      <c r="D90" s="14">
        <f>'Simulador Coste Boda'!$B90*'Simulador Coste Boda'!$C90</f>
        <v>0</v>
      </c>
      <c r="E90" s="11" t="s">
        <v>29</v>
      </c>
      <c r="F90" s="1"/>
      <c r="G90" s="1"/>
      <c r="H90" s="1"/>
      <c r="I90" s="1"/>
      <c r="J90" s="1"/>
      <c r="K90" s="1"/>
    </row>
    <row r="91" spans="1:11" ht="17.399999999999999" thickBot="1">
      <c r="A91" s="12" t="s">
        <v>96</v>
      </c>
      <c r="B91" s="13">
        <v>500</v>
      </c>
      <c r="C91" s="15">
        <f t="shared" si="0"/>
        <v>0</v>
      </c>
      <c r="D91" s="14">
        <f>'Simulador Coste Boda'!$B91*'Simulador Coste Boda'!$C91</f>
        <v>0</v>
      </c>
      <c r="E91" s="11" t="s">
        <v>29</v>
      </c>
      <c r="F91" s="1"/>
      <c r="G91" s="1"/>
      <c r="H91" s="1"/>
      <c r="I91" s="1"/>
      <c r="J91" s="1"/>
      <c r="K91" s="1"/>
    </row>
    <row r="92" spans="1:11" ht="17.399999999999999" thickBot="1">
      <c r="A92" s="12" t="s">
        <v>97</v>
      </c>
      <c r="B92" s="13">
        <v>200</v>
      </c>
      <c r="C92" s="15">
        <f t="shared" si="0"/>
        <v>0</v>
      </c>
      <c r="D92" s="14">
        <f>'Simulador Coste Boda'!$B92*'Simulador Coste Boda'!$C92</f>
        <v>0</v>
      </c>
      <c r="E92" s="11" t="s">
        <v>29</v>
      </c>
      <c r="F92" s="1"/>
      <c r="G92" s="1"/>
      <c r="H92" s="1"/>
      <c r="I92" s="1"/>
      <c r="J92" s="1"/>
      <c r="K92" s="1"/>
    </row>
    <row r="93" spans="1:11" ht="16.8">
      <c r="A93" s="7" t="s">
        <v>98</v>
      </c>
      <c r="B93" s="8">
        <v>200</v>
      </c>
      <c r="C93" s="15">
        <f t="shared" si="0"/>
        <v>0</v>
      </c>
      <c r="D93" s="14">
        <f>'Simulador Coste Boda'!$B93*'Simulador Coste Boda'!$C93</f>
        <v>0</v>
      </c>
      <c r="E93" s="11" t="s">
        <v>29</v>
      </c>
      <c r="F93" s="1"/>
      <c r="G93" s="1"/>
      <c r="H93" s="1"/>
      <c r="I93" s="1"/>
      <c r="J93" s="1"/>
      <c r="K93" s="1"/>
    </row>
    <row r="94" spans="1:11" ht="16.8">
      <c r="A94" s="12" t="s">
        <v>99</v>
      </c>
      <c r="B94" s="13">
        <v>200</v>
      </c>
      <c r="C94" s="15">
        <f t="shared" si="0"/>
        <v>0</v>
      </c>
      <c r="D94" s="14">
        <f>'Simulador Coste Boda'!$B94*'Simulador Coste Boda'!$C94</f>
        <v>0</v>
      </c>
      <c r="E94" s="11" t="s">
        <v>29</v>
      </c>
      <c r="F94" s="1"/>
      <c r="G94" s="1"/>
      <c r="H94" s="1"/>
      <c r="I94" s="1"/>
      <c r="J94" s="1"/>
      <c r="K94" s="1"/>
    </row>
    <row r="95" spans="1:11" ht="16.8">
      <c r="A95" s="7" t="s">
        <v>100</v>
      </c>
      <c r="B95" s="8">
        <v>200</v>
      </c>
      <c r="C95" s="15">
        <f t="shared" si="0"/>
        <v>0</v>
      </c>
      <c r="D95" s="14">
        <f>'Simulador Coste Boda'!$B95*'Simulador Coste Boda'!$C95</f>
        <v>0</v>
      </c>
      <c r="E95" s="11" t="s">
        <v>29</v>
      </c>
      <c r="F95" s="1"/>
      <c r="G95" s="1"/>
      <c r="H95" s="1"/>
      <c r="I95" s="1"/>
      <c r="J95" s="1"/>
      <c r="K95" s="1"/>
    </row>
    <row r="96" spans="1:11" ht="16.8">
      <c r="A96" s="12" t="s">
        <v>101</v>
      </c>
      <c r="B96" s="13">
        <v>300</v>
      </c>
      <c r="C96" s="15">
        <f t="shared" si="0"/>
        <v>0</v>
      </c>
      <c r="D96" s="14">
        <f>'Simulador Coste Boda'!$B96*'Simulador Coste Boda'!$C96</f>
        <v>0</v>
      </c>
      <c r="E96" s="11" t="s">
        <v>29</v>
      </c>
      <c r="F96" s="1"/>
      <c r="G96" s="1"/>
      <c r="H96" s="1"/>
      <c r="I96" s="1"/>
      <c r="J96" s="1"/>
      <c r="K96" s="1"/>
    </row>
    <row r="97" spans="1:11" ht="16.8">
      <c r="A97" s="7" t="s">
        <v>102</v>
      </c>
      <c r="B97" s="8">
        <v>200</v>
      </c>
      <c r="C97" s="15">
        <f t="shared" si="0"/>
        <v>0</v>
      </c>
      <c r="D97" s="14">
        <f>'Simulador Coste Boda'!$B97*'Simulador Coste Boda'!$C97</f>
        <v>0</v>
      </c>
      <c r="E97" s="11" t="s">
        <v>29</v>
      </c>
      <c r="F97" s="1"/>
      <c r="G97" s="1"/>
      <c r="H97" s="1"/>
      <c r="I97" s="1"/>
      <c r="J97" s="1"/>
      <c r="K97" s="1"/>
    </row>
    <row r="98" spans="1:11" ht="16.8">
      <c r="A98" s="12" t="s">
        <v>103</v>
      </c>
      <c r="B98" s="13">
        <v>400</v>
      </c>
      <c r="C98" s="15">
        <f t="shared" si="0"/>
        <v>0</v>
      </c>
      <c r="D98" s="14">
        <f>'Simulador Coste Boda'!$B98*'Simulador Coste Boda'!$C98</f>
        <v>0</v>
      </c>
      <c r="E98" s="11" t="s">
        <v>29</v>
      </c>
      <c r="F98" s="1"/>
      <c r="G98" s="1"/>
      <c r="H98" s="1"/>
      <c r="I98" s="1"/>
      <c r="J98" s="1"/>
      <c r="K98" s="1"/>
    </row>
    <row r="99" spans="1:11" ht="16.8">
      <c r="A99" s="7" t="s">
        <v>104</v>
      </c>
      <c r="B99" s="8">
        <v>700</v>
      </c>
      <c r="C99" s="15">
        <f t="shared" si="0"/>
        <v>0</v>
      </c>
      <c r="D99" s="14">
        <f>'Simulador Coste Boda'!$B99*'Simulador Coste Boda'!$C99</f>
        <v>0</v>
      </c>
      <c r="E99" s="11" t="s">
        <v>29</v>
      </c>
      <c r="F99" s="1"/>
      <c r="G99" s="1"/>
      <c r="H99" s="1"/>
      <c r="I99" s="1"/>
      <c r="J99" s="1"/>
      <c r="K99" s="1"/>
    </row>
    <row r="100" spans="1:11" ht="16.8">
      <c r="A100" s="12" t="s">
        <v>105</v>
      </c>
      <c r="B100" s="13">
        <v>500</v>
      </c>
      <c r="C100" s="15">
        <f t="shared" si="0"/>
        <v>0</v>
      </c>
      <c r="D100" s="14">
        <f>'Simulador Coste Boda'!$B100*'Simulador Coste Boda'!$C100</f>
        <v>0</v>
      </c>
      <c r="E100" s="11" t="s">
        <v>29</v>
      </c>
      <c r="F100" s="1"/>
      <c r="G100" s="1"/>
      <c r="H100" s="1"/>
      <c r="I100" s="1"/>
      <c r="J100" s="1"/>
      <c r="K100" s="1"/>
    </row>
    <row r="101" spans="1:11" ht="16.8">
      <c r="A101" s="7" t="s">
        <v>106</v>
      </c>
      <c r="B101" s="8">
        <v>300</v>
      </c>
      <c r="C101" s="15">
        <f t="shared" si="0"/>
        <v>0</v>
      </c>
      <c r="D101" s="14">
        <f>'Simulador Coste Boda'!$B101*'Simulador Coste Boda'!$C101</f>
        <v>0</v>
      </c>
      <c r="E101" s="11" t="s">
        <v>29</v>
      </c>
      <c r="F101" s="1"/>
      <c r="G101" s="1"/>
      <c r="H101" s="1"/>
      <c r="I101" s="1"/>
      <c r="J101" s="1"/>
      <c r="K101" s="1"/>
    </row>
    <row r="102" spans="1:11" ht="16.8">
      <c r="A102" s="12" t="s">
        <v>107</v>
      </c>
      <c r="B102" s="13">
        <v>2000</v>
      </c>
      <c r="C102" s="15">
        <f t="shared" si="0"/>
        <v>0</v>
      </c>
      <c r="D102" s="14">
        <f>'Simulador Coste Boda'!$B102*'Simulador Coste Boda'!$C102</f>
        <v>0</v>
      </c>
      <c r="E102" s="11" t="s">
        <v>29</v>
      </c>
      <c r="F102" s="1"/>
      <c r="G102" s="1"/>
      <c r="H102" s="1"/>
      <c r="I102" s="1"/>
      <c r="J102" s="1"/>
      <c r="K102" s="1"/>
    </row>
    <row r="103" spans="1:11" ht="16.8">
      <c r="A103" s="7" t="s">
        <v>108</v>
      </c>
      <c r="B103" s="8">
        <v>300</v>
      </c>
      <c r="C103" s="15">
        <f t="shared" si="0"/>
        <v>0</v>
      </c>
      <c r="D103" s="14">
        <f>'Simulador Coste Boda'!$B103*'Simulador Coste Boda'!$C103</f>
        <v>0</v>
      </c>
      <c r="E103" s="11" t="s">
        <v>29</v>
      </c>
      <c r="F103" s="1"/>
      <c r="G103" s="1"/>
      <c r="H103" s="1"/>
      <c r="I103" s="1"/>
      <c r="J103" s="1"/>
      <c r="K103" s="1"/>
    </row>
    <row r="104" spans="1:11" ht="17.399999999999999" thickBot="1">
      <c r="A104" s="12" t="s">
        <v>109</v>
      </c>
      <c r="B104" s="13">
        <v>300</v>
      </c>
      <c r="C104" s="15">
        <f t="shared" si="0"/>
        <v>0</v>
      </c>
      <c r="D104" s="14">
        <f>'Simulador Coste Boda'!$B104*'Simulador Coste Boda'!$C104</f>
        <v>0</v>
      </c>
      <c r="E104" s="11" t="s">
        <v>29</v>
      </c>
      <c r="F104" s="1"/>
      <c r="G104" s="1"/>
      <c r="H104" s="1"/>
      <c r="I104" s="1"/>
      <c r="J104" s="1"/>
      <c r="K104" s="1"/>
    </row>
    <row r="105" spans="1:11" ht="17.399999999999999" thickBot="1">
      <c r="A105" s="7" t="s">
        <v>110</v>
      </c>
      <c r="B105" s="8">
        <v>400</v>
      </c>
      <c r="C105" s="15">
        <f t="shared" si="0"/>
        <v>0</v>
      </c>
      <c r="D105" s="14">
        <f>'Simulador Coste Boda'!$B105*'Simulador Coste Boda'!$C105</f>
        <v>0</v>
      </c>
      <c r="E105" s="11" t="s">
        <v>29</v>
      </c>
      <c r="F105" s="1"/>
      <c r="G105" s="1"/>
      <c r="H105" s="1"/>
      <c r="I105" s="1"/>
      <c r="J105" s="1"/>
      <c r="K105" s="1"/>
    </row>
    <row r="106" spans="1:11" ht="17.399999999999999" thickBot="1">
      <c r="A106" s="12" t="s">
        <v>111</v>
      </c>
      <c r="B106" s="13">
        <v>250</v>
      </c>
      <c r="C106" s="15">
        <f t="shared" si="0"/>
        <v>0</v>
      </c>
      <c r="D106" s="14">
        <f>'Simulador Coste Boda'!$B106*'Simulador Coste Boda'!$C106</f>
        <v>0</v>
      </c>
      <c r="E106" s="11" t="s">
        <v>29</v>
      </c>
      <c r="F106" s="1"/>
      <c r="G106" s="1"/>
      <c r="H106" s="1"/>
      <c r="I106" s="1"/>
      <c r="J106" s="1"/>
      <c r="K106" s="1"/>
    </row>
    <row r="107" spans="1:11" ht="17.399999999999999" thickBot="1">
      <c r="A107" s="12" t="s">
        <v>112</v>
      </c>
      <c r="B107" s="13">
        <v>400</v>
      </c>
      <c r="C107" s="15">
        <f t="shared" si="0"/>
        <v>0</v>
      </c>
      <c r="D107" s="14">
        <f>'Simulador Coste Boda'!$B107*'Simulador Coste Boda'!$C107</f>
        <v>0</v>
      </c>
      <c r="E107" s="11" t="s">
        <v>29</v>
      </c>
      <c r="F107" s="1"/>
      <c r="G107" s="1"/>
      <c r="H107" s="1"/>
      <c r="I107" s="1"/>
      <c r="J107" s="1"/>
      <c r="K107" s="1"/>
    </row>
    <row r="108" spans="1:11" ht="16.8">
      <c r="A108" s="7" t="s">
        <v>113</v>
      </c>
      <c r="B108" s="8">
        <v>500</v>
      </c>
      <c r="C108" s="15">
        <f t="shared" si="0"/>
        <v>0</v>
      </c>
      <c r="D108" s="14">
        <f>'Simulador Coste Boda'!$B108*'Simulador Coste Boda'!$C108</f>
        <v>0</v>
      </c>
      <c r="E108" s="11" t="s">
        <v>29</v>
      </c>
      <c r="F108" s="1"/>
      <c r="G108" s="1"/>
      <c r="H108" s="1"/>
      <c r="I108" s="1"/>
      <c r="J108" s="1"/>
      <c r="K108" s="1"/>
    </row>
    <row r="109" spans="1:11" ht="17.399999999999999" thickBot="1">
      <c r="A109" s="12" t="s">
        <v>114</v>
      </c>
      <c r="B109" s="13">
        <v>400</v>
      </c>
      <c r="C109" s="15">
        <f t="shared" si="0"/>
        <v>0</v>
      </c>
      <c r="D109" s="14">
        <f>'Simulador Coste Boda'!$B109*'Simulador Coste Boda'!$C109</f>
        <v>0</v>
      </c>
      <c r="E109" s="11" t="s">
        <v>29</v>
      </c>
      <c r="F109" s="1"/>
      <c r="G109" s="1"/>
      <c r="H109" s="1"/>
      <c r="I109" s="1"/>
      <c r="J109" s="1"/>
      <c r="K109" s="1"/>
    </row>
    <row r="110" spans="1:11" ht="17.399999999999999" thickBot="1">
      <c r="A110" s="12" t="s">
        <v>115</v>
      </c>
      <c r="B110" s="13">
        <v>300</v>
      </c>
      <c r="C110" s="15">
        <f t="shared" si="0"/>
        <v>0</v>
      </c>
      <c r="D110" s="14">
        <f>'Simulador Coste Boda'!$B110*'Simulador Coste Boda'!$C110</f>
        <v>0</v>
      </c>
      <c r="E110" s="11" t="s">
        <v>29</v>
      </c>
      <c r="F110" s="1"/>
      <c r="G110" s="1"/>
      <c r="H110" s="1"/>
      <c r="I110" s="1"/>
      <c r="J110" s="1"/>
      <c r="K110" s="1"/>
    </row>
    <row r="111" spans="1:11" ht="16.8">
      <c r="A111" s="7" t="s">
        <v>116</v>
      </c>
      <c r="B111" s="8">
        <v>200</v>
      </c>
      <c r="C111" s="15">
        <f t="shared" si="0"/>
        <v>0</v>
      </c>
      <c r="D111" s="14">
        <f>'Simulador Coste Boda'!$B111*'Simulador Coste Boda'!$C111</f>
        <v>0</v>
      </c>
      <c r="E111" s="11" t="s">
        <v>29</v>
      </c>
      <c r="F111" s="1"/>
      <c r="G111" s="1"/>
      <c r="H111" s="1"/>
      <c r="I111" s="1"/>
      <c r="J111" s="1"/>
      <c r="K111" s="1"/>
    </row>
    <row r="112" spans="1:11" ht="16.8">
      <c r="A112" s="12" t="s">
        <v>117</v>
      </c>
      <c r="B112" s="13">
        <v>150</v>
      </c>
      <c r="C112" s="15">
        <f t="shared" si="0"/>
        <v>0</v>
      </c>
      <c r="D112" s="14">
        <f>'Simulador Coste Boda'!$B112*'Simulador Coste Boda'!$C112</f>
        <v>0</v>
      </c>
      <c r="E112" s="11" t="s">
        <v>29</v>
      </c>
      <c r="F112" s="1"/>
      <c r="G112" s="1"/>
      <c r="H112" s="1"/>
      <c r="I112" s="1"/>
      <c r="J112" s="1"/>
      <c r="K112" s="1"/>
    </row>
    <row r="113" spans="1:11" ht="17.399999999999999" thickBot="1">
      <c r="A113" s="7" t="s">
        <v>118</v>
      </c>
      <c r="B113" s="8">
        <v>200</v>
      </c>
      <c r="C113" s="15">
        <f t="shared" si="0"/>
        <v>0</v>
      </c>
      <c r="D113" s="14">
        <f>'Simulador Coste Boda'!$B113*'Simulador Coste Boda'!$C113</f>
        <v>0</v>
      </c>
      <c r="E113" s="11" t="s">
        <v>29</v>
      </c>
      <c r="F113" s="1"/>
      <c r="G113" s="1"/>
      <c r="H113" s="1"/>
      <c r="I113" s="1"/>
      <c r="J113" s="1"/>
      <c r="K113" s="1"/>
    </row>
    <row r="114" spans="1:11" ht="17.399999999999999" thickBot="1">
      <c r="A114" s="12" t="s">
        <v>119</v>
      </c>
      <c r="B114" s="13">
        <v>200</v>
      </c>
      <c r="C114" s="15">
        <f t="shared" si="0"/>
        <v>0</v>
      </c>
      <c r="D114" s="14">
        <f>'Simulador Coste Boda'!$B114*'Simulador Coste Boda'!$C114</f>
        <v>0</v>
      </c>
      <c r="E114" s="11" t="s">
        <v>29</v>
      </c>
      <c r="F114" s="1"/>
      <c r="G114" s="1"/>
      <c r="H114" s="1"/>
      <c r="I114" s="1"/>
      <c r="J114" s="1"/>
      <c r="K114" s="1"/>
    </row>
    <row r="115" spans="1:11" ht="17.399999999999999" thickBot="1">
      <c r="A115" s="12" t="s">
        <v>120</v>
      </c>
      <c r="B115" s="13">
        <v>700</v>
      </c>
      <c r="C115" s="15">
        <f t="shared" si="0"/>
        <v>0</v>
      </c>
      <c r="D115" s="14">
        <f>'Simulador Coste Boda'!$B115*'Simulador Coste Boda'!$C115</f>
        <v>0</v>
      </c>
      <c r="E115" s="11" t="s">
        <v>29</v>
      </c>
      <c r="F115" s="1"/>
      <c r="G115" s="1"/>
      <c r="H115" s="1"/>
      <c r="I115" s="1"/>
      <c r="J115" s="1"/>
      <c r="K115" s="1"/>
    </row>
    <row r="116" spans="1:11" ht="17.399999999999999" thickBot="1">
      <c r="A116" s="12" t="s">
        <v>121</v>
      </c>
      <c r="B116" s="13">
        <v>200</v>
      </c>
      <c r="C116" s="15">
        <f t="shared" si="0"/>
        <v>0</v>
      </c>
      <c r="D116" s="14">
        <f>'Simulador Coste Boda'!$B116*'Simulador Coste Boda'!$C116</f>
        <v>0</v>
      </c>
      <c r="E116" s="11" t="s">
        <v>29</v>
      </c>
      <c r="F116" s="1"/>
      <c r="G116" s="1"/>
      <c r="H116" s="1"/>
      <c r="I116" s="1"/>
      <c r="J116" s="1"/>
      <c r="K116" s="1"/>
    </row>
    <row r="117" spans="1:11" ht="16.8">
      <c r="A117" s="7" t="s">
        <v>122</v>
      </c>
      <c r="B117" s="8">
        <v>800</v>
      </c>
      <c r="C117" s="15">
        <f t="shared" si="0"/>
        <v>0</v>
      </c>
      <c r="D117" s="14">
        <f>'Simulador Coste Boda'!$B117*'Simulador Coste Boda'!$C117</f>
        <v>0</v>
      </c>
      <c r="E117" s="11" t="s">
        <v>29</v>
      </c>
      <c r="F117" s="1"/>
      <c r="G117" s="1"/>
      <c r="H117" s="1"/>
      <c r="I117" s="1"/>
      <c r="J117" s="1"/>
      <c r="K117" s="1"/>
    </row>
    <row r="118" spans="1:11" ht="16.8">
      <c r="A118" s="12" t="s">
        <v>123</v>
      </c>
      <c r="B118" s="13">
        <v>150</v>
      </c>
      <c r="C118" s="15">
        <f t="shared" si="0"/>
        <v>0</v>
      </c>
      <c r="D118" s="14">
        <f>'Simulador Coste Boda'!$B118*'Simulador Coste Boda'!$C118</f>
        <v>0</v>
      </c>
      <c r="E118" s="11" t="s">
        <v>29</v>
      </c>
      <c r="F118" s="1"/>
      <c r="G118" s="1"/>
      <c r="H118" s="1"/>
      <c r="I118" s="1"/>
      <c r="J118" s="1"/>
      <c r="K118" s="1"/>
    </row>
    <row r="119" spans="1:11" ht="16.8">
      <c r="A119" s="7" t="s">
        <v>124</v>
      </c>
      <c r="B119" s="8">
        <v>100</v>
      </c>
      <c r="C119" s="15">
        <f t="shared" si="0"/>
        <v>0</v>
      </c>
      <c r="D119" s="14">
        <f>'Simulador Coste Boda'!$B119*'Simulador Coste Boda'!$C119</f>
        <v>0</v>
      </c>
      <c r="E119" s="11" t="s">
        <v>29</v>
      </c>
      <c r="F119" s="1"/>
      <c r="G119" s="1"/>
      <c r="H119" s="1"/>
      <c r="I119" s="1"/>
      <c r="J119" s="1"/>
      <c r="K119" s="1"/>
    </row>
    <row r="120" spans="1:11" ht="16.8">
      <c r="A120" s="12" t="s">
        <v>125</v>
      </c>
      <c r="B120" s="13">
        <v>150</v>
      </c>
      <c r="C120" s="15">
        <f t="shared" si="0"/>
        <v>0</v>
      </c>
      <c r="D120" s="14">
        <f>'Simulador Coste Boda'!$B120*'Simulador Coste Boda'!$C120</f>
        <v>0</v>
      </c>
      <c r="E120" s="11" t="s">
        <v>29</v>
      </c>
      <c r="F120" s="1"/>
      <c r="G120" s="1"/>
      <c r="H120" s="1"/>
      <c r="I120" s="1"/>
      <c r="J120" s="1"/>
      <c r="K120" s="1"/>
    </row>
    <row r="121" spans="1:11" ht="16.8">
      <c r="A121" s="7" t="s">
        <v>126</v>
      </c>
      <c r="B121" s="8">
        <v>200</v>
      </c>
      <c r="C121" s="15">
        <f t="shared" si="0"/>
        <v>0</v>
      </c>
      <c r="D121" s="14">
        <f>'Simulador Coste Boda'!$B121*'Simulador Coste Boda'!$C121</f>
        <v>0</v>
      </c>
      <c r="E121" s="11" t="s">
        <v>29</v>
      </c>
      <c r="F121" s="1"/>
      <c r="G121" s="1"/>
      <c r="H121" s="1"/>
      <c r="I121" s="1"/>
      <c r="J121" s="1"/>
      <c r="K121" s="1"/>
    </row>
    <row r="122" spans="1:11" ht="16.8">
      <c r="A122" s="12" t="s">
        <v>127</v>
      </c>
      <c r="B122" s="13">
        <v>500</v>
      </c>
      <c r="C122" s="15">
        <f t="shared" si="0"/>
        <v>0</v>
      </c>
      <c r="D122" s="14">
        <f>'Simulador Coste Boda'!$B122*'Simulador Coste Boda'!$C122</f>
        <v>0</v>
      </c>
      <c r="E122" s="11" t="s">
        <v>29</v>
      </c>
      <c r="F122" s="1"/>
      <c r="G122" s="1"/>
      <c r="H122" s="1"/>
      <c r="I122" s="1"/>
      <c r="J122" s="1"/>
      <c r="K122" s="1"/>
    </row>
    <row r="123" spans="1:11" ht="16.8">
      <c r="A123" s="7" t="s">
        <v>28</v>
      </c>
      <c r="B123" s="8">
        <v>8000</v>
      </c>
      <c r="C123" s="15">
        <f t="shared" si="0"/>
        <v>0</v>
      </c>
      <c r="D123" s="14">
        <f>'Simulador Coste Boda'!$B123*'Simulador Coste Boda'!$C123</f>
        <v>0</v>
      </c>
      <c r="E123" s="11" t="s">
        <v>29</v>
      </c>
      <c r="F123" s="1"/>
      <c r="G123" s="1"/>
      <c r="H123" s="1"/>
      <c r="I123" s="1"/>
      <c r="J123" s="1"/>
      <c r="K123" s="1"/>
    </row>
    <row r="124" spans="1:11" ht="16.8">
      <c r="A124" s="12" t="s">
        <v>128</v>
      </c>
      <c r="B124" s="13">
        <v>8000</v>
      </c>
      <c r="C124" s="15">
        <f t="shared" si="0"/>
        <v>0</v>
      </c>
      <c r="D124" s="14">
        <f>'Simulador Coste Boda'!$B124*'Simulador Coste Boda'!$C124</f>
        <v>0</v>
      </c>
      <c r="E124" s="11" t="s">
        <v>29</v>
      </c>
      <c r="F124" s="1"/>
      <c r="G124" s="1"/>
      <c r="H124" s="1"/>
      <c r="I124" s="1"/>
      <c r="J124" s="1"/>
      <c r="K124" s="1"/>
    </row>
    <row r="125" spans="1:11" ht="17.399999999999999" thickBot="1">
      <c r="A125" s="7" t="s">
        <v>129</v>
      </c>
      <c r="B125" s="8">
        <v>100</v>
      </c>
      <c r="C125" s="15">
        <f t="shared" si="0"/>
        <v>0</v>
      </c>
      <c r="D125" s="14">
        <f>'Simulador Coste Boda'!$B125*'Simulador Coste Boda'!$C125</f>
        <v>0</v>
      </c>
      <c r="E125" s="11" t="s">
        <v>29</v>
      </c>
      <c r="F125" s="1"/>
      <c r="G125" s="1"/>
      <c r="H125" s="1"/>
      <c r="I125" s="1"/>
      <c r="J125" s="1"/>
      <c r="K125" s="1"/>
    </row>
    <row r="126" spans="1:11" ht="17.399999999999999" thickBot="1">
      <c r="A126" s="7" t="s">
        <v>130</v>
      </c>
      <c r="B126" s="8">
        <v>100</v>
      </c>
      <c r="C126" s="15">
        <f t="shared" si="0"/>
        <v>0</v>
      </c>
      <c r="D126" s="14">
        <f>'Simulador Coste Boda'!$B126*'Simulador Coste Boda'!$C126</f>
        <v>0</v>
      </c>
      <c r="E126" s="11" t="s">
        <v>29</v>
      </c>
      <c r="F126" s="1"/>
      <c r="G126" s="1"/>
      <c r="H126" s="1"/>
      <c r="I126" s="1"/>
      <c r="J126" s="1"/>
      <c r="K126" s="1"/>
    </row>
    <row r="127" spans="1:11" ht="16.8">
      <c r="A127" s="12" t="s">
        <v>131</v>
      </c>
      <c r="B127" s="13">
        <v>300</v>
      </c>
      <c r="C127" s="15">
        <f t="shared" si="0"/>
        <v>0</v>
      </c>
      <c r="D127" s="14">
        <f>'Simulador Coste Boda'!$B127*'Simulador Coste Boda'!$C127</f>
        <v>0</v>
      </c>
      <c r="E127" s="11" t="s">
        <v>29</v>
      </c>
      <c r="F127" s="1"/>
      <c r="G127" s="1"/>
      <c r="H127" s="1"/>
      <c r="I127" s="1"/>
      <c r="J127" s="1"/>
      <c r="K127" s="1"/>
    </row>
    <row r="128" spans="1:11" ht="16.8">
      <c r="A128" s="7" t="s">
        <v>132</v>
      </c>
      <c r="B128" s="8">
        <v>500</v>
      </c>
      <c r="C128" s="15">
        <f t="shared" si="0"/>
        <v>0</v>
      </c>
      <c r="D128" s="14">
        <f>'Simulador Coste Boda'!$B128*'Simulador Coste Boda'!$C128</f>
        <v>0</v>
      </c>
      <c r="E128" s="11" t="s">
        <v>29</v>
      </c>
      <c r="F128" s="1"/>
      <c r="G128" s="1"/>
      <c r="H128" s="1"/>
      <c r="I128" s="1"/>
      <c r="J128" s="1"/>
      <c r="K128" s="1"/>
    </row>
    <row r="129" spans="1:11" ht="16.8">
      <c r="A129" s="12" t="s">
        <v>133</v>
      </c>
      <c r="B129" s="13">
        <v>100</v>
      </c>
      <c r="C129" s="15">
        <f t="shared" si="0"/>
        <v>0</v>
      </c>
      <c r="D129" s="14">
        <f>'Simulador Coste Boda'!$B129*'Simulador Coste Boda'!$C129</f>
        <v>0</v>
      </c>
      <c r="E129" s="11" t="s">
        <v>29</v>
      </c>
      <c r="F129" s="1"/>
      <c r="G129" s="1"/>
      <c r="H129" s="1"/>
      <c r="I129" s="1"/>
      <c r="J129" s="1"/>
      <c r="K129" s="1"/>
    </row>
    <row r="130" spans="1:11" ht="16.8">
      <c r="A130" s="7" t="s">
        <v>134</v>
      </c>
      <c r="B130" s="8">
        <v>300</v>
      </c>
      <c r="C130" s="15">
        <f t="shared" si="0"/>
        <v>0</v>
      </c>
      <c r="D130" s="14">
        <f>'Simulador Coste Boda'!$B130*'Simulador Coste Boda'!$C130</f>
        <v>0</v>
      </c>
      <c r="E130" s="11" t="s">
        <v>29</v>
      </c>
      <c r="F130" s="1"/>
      <c r="G130" s="1"/>
      <c r="H130" s="1"/>
      <c r="I130" s="1"/>
      <c r="J130" s="1"/>
      <c r="K130" s="1"/>
    </row>
    <row r="131" spans="1:11" ht="16.8">
      <c r="A131" s="12" t="s">
        <v>135</v>
      </c>
      <c r="B131" s="13">
        <v>450</v>
      </c>
      <c r="C131" s="15">
        <f t="shared" si="0"/>
        <v>0</v>
      </c>
      <c r="D131" s="14">
        <f>'Simulador Coste Boda'!$B131*'Simulador Coste Boda'!$C131</f>
        <v>0</v>
      </c>
      <c r="E131" s="11" t="s">
        <v>29</v>
      </c>
      <c r="F131" s="2"/>
      <c r="G131" s="2"/>
      <c r="H131" s="2"/>
      <c r="I131" s="2"/>
      <c r="J131" s="2"/>
      <c r="K131" s="2"/>
    </row>
    <row r="132" spans="1:11" ht="16.8">
      <c r="A132" s="7" t="s">
        <v>136</v>
      </c>
      <c r="B132" s="8">
        <v>200</v>
      </c>
      <c r="C132" s="15">
        <f t="shared" si="0"/>
        <v>0</v>
      </c>
      <c r="D132" s="14">
        <f>'Simulador Coste Boda'!$B132*'Simulador Coste Boda'!$C132</f>
        <v>0</v>
      </c>
      <c r="E132" s="11" t="s">
        <v>29</v>
      </c>
      <c r="F132" s="2"/>
      <c r="G132" s="2"/>
      <c r="H132" s="2"/>
      <c r="I132" s="2"/>
      <c r="J132" s="2"/>
      <c r="K132" s="2"/>
    </row>
    <row r="133" spans="1:11" ht="17.399999999999999" thickBot="1">
      <c r="A133" s="12" t="s">
        <v>137</v>
      </c>
      <c r="B133" s="13">
        <v>300</v>
      </c>
      <c r="C133" s="15">
        <f t="shared" si="0"/>
        <v>0</v>
      </c>
      <c r="D133" s="14">
        <f>'Simulador Coste Boda'!$B133*'Simulador Coste Boda'!$C133</f>
        <v>0</v>
      </c>
      <c r="E133" s="11" t="s">
        <v>29</v>
      </c>
      <c r="F133" s="2"/>
      <c r="G133" s="2"/>
      <c r="H133" s="2"/>
      <c r="I133" s="2"/>
      <c r="J133" s="2"/>
      <c r="K133" s="2"/>
    </row>
    <row r="134" spans="1:11" ht="17.399999999999999" thickBot="1">
      <c r="A134" s="7" t="s">
        <v>138</v>
      </c>
      <c r="B134" s="8">
        <v>200</v>
      </c>
      <c r="C134" s="15">
        <f t="shared" si="0"/>
        <v>0</v>
      </c>
      <c r="D134" s="16">
        <f>'Simulador Coste Boda'!$B134*'Simulador Coste Boda'!$C134</f>
        <v>0</v>
      </c>
      <c r="E134" s="11" t="s">
        <v>29</v>
      </c>
      <c r="F134" s="2"/>
      <c r="G134" s="2"/>
      <c r="H134" s="2"/>
      <c r="I134" s="2"/>
      <c r="J134" s="2"/>
      <c r="K134" s="2"/>
    </row>
    <row r="135" spans="1:11" ht="16.8">
      <c r="A135" s="12" t="s">
        <v>139</v>
      </c>
      <c r="B135" s="13">
        <v>150</v>
      </c>
      <c r="C135" s="15">
        <f t="shared" si="0"/>
        <v>0</v>
      </c>
      <c r="D135" s="14">
        <f>'Simulador Coste Boda'!$B135*'Simulador Coste Boda'!$C135</f>
        <v>0</v>
      </c>
      <c r="E135" s="11" t="s">
        <v>29</v>
      </c>
      <c r="F135" s="2"/>
      <c r="G135" s="2"/>
      <c r="H135" s="2"/>
      <c r="I135" s="2"/>
      <c r="J135" s="2"/>
      <c r="K135" s="2"/>
    </row>
    <row r="136" spans="1:11" ht="17.399999999999999" thickBot="1">
      <c r="A136" s="7" t="s">
        <v>140</v>
      </c>
      <c r="B136" s="8">
        <v>200</v>
      </c>
      <c r="C136" s="15">
        <f t="shared" si="0"/>
        <v>0</v>
      </c>
      <c r="D136" s="14">
        <f>'Simulador Coste Boda'!$B136*'Simulador Coste Boda'!$C136</f>
        <v>0</v>
      </c>
      <c r="E136" s="11" t="s">
        <v>29</v>
      </c>
      <c r="F136" s="2"/>
      <c r="G136" s="2"/>
      <c r="H136" s="2"/>
      <c r="I136" s="2"/>
      <c r="J136" s="2"/>
      <c r="K136" s="2"/>
    </row>
    <row r="137" spans="1:11" ht="17.399999999999999" thickBot="1">
      <c r="A137" s="7" t="s">
        <v>141</v>
      </c>
      <c r="B137" s="8">
        <v>250</v>
      </c>
      <c r="C137" s="15">
        <f t="shared" si="0"/>
        <v>0</v>
      </c>
      <c r="D137" s="14">
        <f>'Simulador Coste Boda'!$B137*'Simulador Coste Boda'!$C137</f>
        <v>0</v>
      </c>
      <c r="E137" s="11" t="s">
        <v>29</v>
      </c>
      <c r="F137" s="2"/>
      <c r="G137" s="2"/>
      <c r="H137" s="2"/>
      <c r="I137" s="2"/>
      <c r="J137" s="2"/>
      <c r="K137" s="2"/>
    </row>
    <row r="138" spans="1:11" ht="16.8">
      <c r="A138" s="12" t="s">
        <v>142</v>
      </c>
      <c r="B138" s="13">
        <v>200</v>
      </c>
      <c r="C138" s="15">
        <f t="shared" si="0"/>
        <v>0</v>
      </c>
      <c r="D138" s="14">
        <f>'Simulador Coste Boda'!$B138*'Simulador Coste Boda'!$C138</f>
        <v>0</v>
      </c>
      <c r="E138" s="11" t="s">
        <v>29</v>
      </c>
      <c r="F138" s="2"/>
      <c r="G138" s="2"/>
      <c r="H138" s="2"/>
      <c r="I138" s="2"/>
      <c r="J138" s="2"/>
      <c r="K138" s="2"/>
    </row>
    <row r="139" spans="1:11" ht="16.8">
      <c r="A139" s="7" t="s">
        <v>143</v>
      </c>
      <c r="B139" s="8">
        <v>300</v>
      </c>
      <c r="C139" s="15">
        <f t="shared" si="0"/>
        <v>0</v>
      </c>
      <c r="D139" s="14">
        <f>'Simulador Coste Boda'!$B139*'Simulador Coste Boda'!$C139</f>
        <v>0</v>
      </c>
      <c r="E139" s="11" t="s">
        <v>29</v>
      </c>
      <c r="F139" s="2"/>
      <c r="G139" s="2"/>
      <c r="H139" s="2"/>
      <c r="I139" s="2"/>
      <c r="J139" s="2"/>
      <c r="K139" s="2"/>
    </row>
    <row r="140" spans="1:11" ht="16.8">
      <c r="A140" s="12" t="s">
        <v>144</v>
      </c>
      <c r="B140" s="13">
        <v>150</v>
      </c>
      <c r="C140" s="15">
        <f t="shared" si="0"/>
        <v>0</v>
      </c>
      <c r="D140" s="14">
        <f>'Simulador Coste Boda'!$B140*'Simulador Coste Boda'!$C140</f>
        <v>0</v>
      </c>
      <c r="E140" s="11" t="s">
        <v>29</v>
      </c>
      <c r="F140" s="2"/>
      <c r="G140" s="2"/>
      <c r="H140" s="2"/>
      <c r="I140" s="2"/>
      <c r="J140" s="2"/>
      <c r="K140" s="2"/>
    </row>
    <row r="141" spans="1:11" ht="16.8">
      <c r="A141" s="7" t="s">
        <v>145</v>
      </c>
      <c r="B141" s="8">
        <v>150</v>
      </c>
      <c r="C141" s="15">
        <f t="shared" si="0"/>
        <v>0</v>
      </c>
      <c r="D141" s="14">
        <f>'Simulador Coste Boda'!$B141*'Simulador Coste Boda'!$C141</f>
        <v>0</v>
      </c>
      <c r="E141" s="11" t="s">
        <v>29</v>
      </c>
      <c r="F141" s="2"/>
      <c r="G141" s="2"/>
      <c r="H141" s="2"/>
      <c r="I141" s="2"/>
      <c r="J141" s="2"/>
      <c r="K141" s="2"/>
    </row>
    <row r="142" spans="1:11" ht="16.8">
      <c r="A142" s="12" t="s">
        <v>146</v>
      </c>
      <c r="B142" s="13">
        <v>100</v>
      </c>
      <c r="C142" s="15">
        <f t="shared" si="0"/>
        <v>0</v>
      </c>
      <c r="D142" s="14">
        <f>'Simulador Coste Boda'!$B142*'Simulador Coste Boda'!$C142</f>
        <v>0</v>
      </c>
      <c r="E142" s="11" t="s">
        <v>29</v>
      </c>
      <c r="F142" s="2"/>
      <c r="G142" s="2"/>
      <c r="H142" s="2"/>
      <c r="I142" s="2"/>
      <c r="J142" s="2"/>
      <c r="K142" s="2"/>
    </row>
    <row r="143" spans="1:11" ht="16.8">
      <c r="A143" s="7" t="s">
        <v>147</v>
      </c>
      <c r="B143" s="8">
        <v>0</v>
      </c>
      <c r="C143" s="15">
        <f t="shared" si="0"/>
        <v>0</v>
      </c>
      <c r="D143" s="14">
        <f>'Simulador Coste Boda'!$B143*'Simulador Coste Boda'!$C143</f>
        <v>0</v>
      </c>
      <c r="E143" s="11" t="s">
        <v>29</v>
      </c>
      <c r="F143" s="2"/>
      <c r="G143" s="2"/>
      <c r="H143" s="2"/>
      <c r="I143" s="2"/>
      <c r="J143" s="2"/>
      <c r="K143" s="2"/>
    </row>
    <row r="144" spans="1:11" ht="16.8">
      <c r="A144" s="17"/>
      <c r="B144" s="18"/>
      <c r="C144" s="15">
        <f t="shared" si="0"/>
        <v>0</v>
      </c>
      <c r="D144" s="14">
        <f>'Simulador Coste Boda'!$B144*'Simulador Coste Boda'!$C144</f>
        <v>0</v>
      </c>
      <c r="E144" s="11" t="s">
        <v>29</v>
      </c>
      <c r="F144" s="2"/>
      <c r="G144" s="2"/>
      <c r="H144" s="2"/>
      <c r="I144" s="2"/>
      <c r="J144" s="2"/>
      <c r="K144" s="2"/>
    </row>
    <row r="145" spans="1:11" ht="16.8">
      <c r="A145" s="17"/>
      <c r="B145" s="18"/>
      <c r="C145" s="15">
        <f t="shared" si="0"/>
        <v>0</v>
      </c>
      <c r="D145" s="14">
        <f>'Simulador Coste Boda'!$B145*'Simulador Coste Boda'!$C145</f>
        <v>0</v>
      </c>
      <c r="E145" s="11" t="s">
        <v>29</v>
      </c>
      <c r="F145" s="2"/>
      <c r="G145" s="2"/>
      <c r="H145" s="2"/>
      <c r="I145" s="2"/>
      <c r="J145" s="2"/>
      <c r="K145" s="2"/>
    </row>
    <row r="146" spans="1:11" ht="16.8">
      <c r="A146" s="17"/>
      <c r="B146" s="18"/>
      <c r="C146" s="15">
        <f t="shared" si="0"/>
        <v>0</v>
      </c>
      <c r="D146" s="14">
        <f>'Simulador Coste Boda'!$B146*'Simulador Coste Boda'!$C146</f>
        <v>0</v>
      </c>
      <c r="E146" s="11" t="s">
        <v>29</v>
      </c>
      <c r="F146" s="2"/>
      <c r="G146" s="2"/>
      <c r="H146" s="2"/>
      <c r="I146" s="2"/>
      <c r="J146" s="2"/>
      <c r="K146" s="2"/>
    </row>
    <row r="147" spans="1:11" ht="16.8">
      <c r="A147" s="17"/>
      <c r="B147" s="18"/>
      <c r="C147" s="15">
        <f t="shared" si="0"/>
        <v>0</v>
      </c>
      <c r="D147" s="14">
        <f>'Simulador Coste Boda'!$B147*'Simulador Coste Boda'!$C147</f>
        <v>0</v>
      </c>
      <c r="E147" s="11" t="s">
        <v>29</v>
      </c>
      <c r="F147" s="2"/>
      <c r="G147" s="2"/>
      <c r="H147" s="2"/>
      <c r="I147" s="2"/>
      <c r="J147" s="2"/>
      <c r="K147" s="2"/>
    </row>
    <row r="148" spans="1:11" ht="16.8">
      <c r="A148" s="17"/>
      <c r="B148" s="18"/>
      <c r="C148" s="15">
        <f t="shared" si="0"/>
        <v>0</v>
      </c>
      <c r="D148" s="14">
        <f>'Simulador Coste Boda'!$B148*'Simulador Coste Boda'!$C148</f>
        <v>0</v>
      </c>
      <c r="E148" s="11" t="s">
        <v>29</v>
      </c>
      <c r="F148" s="2"/>
      <c r="G148" s="2"/>
      <c r="H148" s="2"/>
      <c r="I148" s="2"/>
      <c r="J148" s="2"/>
      <c r="K148" s="2"/>
    </row>
    <row r="149" spans="1:11" ht="16.8">
      <c r="A149" s="17"/>
      <c r="B149" s="18"/>
      <c r="C149" s="19">
        <f t="shared" si="0"/>
        <v>0</v>
      </c>
      <c r="D149" s="20">
        <f>'Simulador Coste Boda'!$B149*'Simulador Coste Boda'!$C149</f>
        <v>0</v>
      </c>
      <c r="E149" s="11" t="s">
        <v>29</v>
      </c>
      <c r="F149" s="2"/>
      <c r="G149" s="2"/>
      <c r="H149" s="2"/>
      <c r="I149" s="2"/>
      <c r="J149" s="2"/>
      <c r="K149" s="2"/>
    </row>
  </sheetData>
  <sheetProtection selectLockedCells="1" selectUnlockedCells="1"/>
  <mergeCells count="5">
    <mergeCell ref="B3:E3"/>
    <mergeCell ref="B4:E4"/>
    <mergeCell ref="B5:E5"/>
    <mergeCell ref="B2:E2"/>
    <mergeCell ref="A1:E1"/>
  </mergeCells>
  <conditionalFormatting sqref="A8:D8 C17:D17">
    <cfRule type="expression" dxfId="48" priority="1">
      <formula>#REF!</formula>
    </cfRule>
  </conditionalFormatting>
  <conditionalFormatting sqref="B4">
    <cfRule type="cellIs" dxfId="47" priority="2" operator="greaterThan">
      <formula>B3</formula>
    </cfRule>
  </conditionalFormatting>
  <conditionalFormatting sqref="B4">
    <cfRule type="cellIs" dxfId="46" priority="3" operator="greaterThan">
      <formula>B3</formula>
    </cfRule>
  </conditionalFormatting>
  <conditionalFormatting sqref="B144:D149 C9:D143">
    <cfRule type="expression" dxfId="45" priority="4">
      <formula>#REF!</formula>
    </cfRule>
  </conditionalFormatting>
  <conditionalFormatting sqref="B8:D8 C9:D149">
    <cfRule type="expression" dxfId="44" priority="5">
      <formula>#REF!</formula>
    </cfRule>
  </conditionalFormatting>
  <conditionalFormatting sqref="C9:D149">
    <cfRule type="expression" dxfId="43" priority="6">
      <formula>#REF!</formula>
    </cfRule>
  </conditionalFormatting>
  <conditionalFormatting sqref="A144:D149">
    <cfRule type="expression" dxfId="42" priority="7">
      <formula>#REF!</formula>
    </cfRule>
  </conditionalFormatting>
  <conditionalFormatting sqref="E8">
    <cfRule type="expression" dxfId="41" priority="8">
      <formula>#REF!</formula>
    </cfRule>
  </conditionalFormatting>
  <conditionalFormatting sqref="E8">
    <cfRule type="expression" dxfId="40" priority="9">
      <formula>#REF!</formula>
    </cfRule>
  </conditionalFormatting>
  <conditionalFormatting sqref="E9:E149">
    <cfRule type="cellIs" dxfId="39" priority="10" operator="equal">
      <formula>"No viene"</formula>
    </cfRule>
  </conditionalFormatting>
  <conditionalFormatting sqref="E9:E149">
    <cfRule type="cellIs" dxfId="38" priority="11" operator="equal">
      <formula>"Sí"</formula>
    </cfRule>
  </conditionalFormatting>
  <conditionalFormatting sqref="E9:E149">
    <cfRule type="cellIs" dxfId="37" priority="12" operator="equal">
      <formula>"No"</formula>
    </cfRule>
  </conditionalFormatting>
  <dataValidations count="1">
    <dataValidation type="list" allowBlank="1" showErrorMessage="1" sqref="E9:E149">
      <formula1>"Sí,No"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4DADA"/>
    <outlinePr summaryBelow="0" summaryRight="0"/>
  </sheetPr>
  <dimension ref="A1:K95"/>
  <sheetViews>
    <sheetView showGridLines="0" workbookViewId="0">
      <pane ySplit="1" topLeftCell="A2" activePane="bottomLeft" state="frozen"/>
      <selection pane="bottomLeft" activeCell="E9" sqref="E9"/>
    </sheetView>
  </sheetViews>
  <sheetFormatPr baseColWidth="10" defaultColWidth="14.44140625" defaultRowHeight="15" customHeight="1"/>
  <cols>
    <col min="1" max="1" width="41.6640625" bestFit="1" customWidth="1"/>
    <col min="2" max="2" width="13" bestFit="1" customWidth="1"/>
    <col min="3" max="3" width="16.44140625" bestFit="1" customWidth="1"/>
    <col min="4" max="4" width="11.88671875" bestFit="1" customWidth="1"/>
    <col min="5" max="5" width="10.6640625" bestFit="1" customWidth="1"/>
    <col min="6" max="6" width="25.88671875" hidden="1" customWidth="1"/>
    <col min="7" max="7" width="13.21875" bestFit="1" customWidth="1"/>
    <col min="8" max="8" width="25.109375" bestFit="1" customWidth="1"/>
    <col min="9" max="9" width="49.5546875" customWidth="1"/>
    <col min="10" max="11" width="12.5546875" customWidth="1"/>
  </cols>
  <sheetData>
    <row r="1" spans="1:11" ht="36" customHeight="1">
      <c r="A1" s="124" t="s">
        <v>224</v>
      </c>
      <c r="B1" s="125"/>
      <c r="C1" s="125"/>
      <c r="D1" s="125"/>
      <c r="E1" s="125"/>
      <c r="F1" s="125"/>
      <c r="G1" s="126"/>
      <c r="H1" s="27" t="s">
        <v>149</v>
      </c>
      <c r="I1" s="27" t="s">
        <v>150</v>
      </c>
      <c r="J1" s="1"/>
      <c r="K1" s="1"/>
    </row>
    <row r="2" spans="1:11" ht="26.25" customHeight="1">
      <c r="A2" s="93" t="s">
        <v>151</v>
      </c>
      <c r="B2" s="94">
        <f>D4</f>
        <v>23000</v>
      </c>
      <c r="C2" s="133" t="s">
        <v>6</v>
      </c>
      <c r="D2" s="134" t="s">
        <v>152</v>
      </c>
      <c r="E2" s="136" t="s">
        <v>153</v>
      </c>
      <c r="F2" s="28"/>
      <c r="G2" s="131"/>
      <c r="H2" s="127">
        <v>100</v>
      </c>
      <c r="I2" s="129">
        <f>D4/H2</f>
        <v>230</v>
      </c>
      <c r="J2" s="29"/>
      <c r="K2" s="29"/>
    </row>
    <row r="3" spans="1:11" ht="26.25" customHeight="1">
      <c r="A3" s="30" t="s">
        <v>154</v>
      </c>
      <c r="B3" s="31">
        <f>C4</f>
        <v>41100</v>
      </c>
      <c r="C3" s="128"/>
      <c r="D3" s="135"/>
      <c r="E3" s="128"/>
      <c r="F3" s="28"/>
      <c r="G3" s="132"/>
      <c r="H3" s="128"/>
      <c r="I3" s="130"/>
      <c r="J3" s="29"/>
      <c r="K3" s="29"/>
    </row>
    <row r="4" spans="1:11" ht="27.75" customHeight="1">
      <c r="A4" s="122" t="s">
        <v>5</v>
      </c>
      <c r="B4" s="123"/>
      <c r="C4" s="92">
        <f>SUM(C6:C63)</f>
        <v>41100</v>
      </c>
      <c r="D4" s="95">
        <f>SUM(D6:D63)</f>
        <v>23000</v>
      </c>
      <c r="E4" s="32">
        <f>SUM(E6:E63)</f>
        <v>10600</v>
      </c>
      <c r="F4" s="33"/>
      <c r="G4" s="87" t="s">
        <v>155</v>
      </c>
      <c r="H4" s="87" t="s">
        <v>156</v>
      </c>
      <c r="I4" s="87" t="s">
        <v>157</v>
      </c>
      <c r="J4" s="34"/>
      <c r="K4" s="34"/>
    </row>
    <row r="5" spans="1:11" ht="15.75" hidden="1" customHeight="1">
      <c r="A5" s="35" t="s">
        <v>0</v>
      </c>
      <c r="B5" s="36" t="s">
        <v>8</v>
      </c>
      <c r="C5" s="37" t="s">
        <v>9</v>
      </c>
      <c r="D5" s="38" t="s">
        <v>10</v>
      </c>
      <c r="E5" s="39" t="s">
        <v>11</v>
      </c>
      <c r="F5" s="40" t="s">
        <v>158</v>
      </c>
      <c r="G5" s="41" t="s">
        <v>159</v>
      </c>
      <c r="H5" s="42" t="s">
        <v>160</v>
      </c>
      <c r="I5" s="25" t="s">
        <v>161</v>
      </c>
      <c r="J5" s="2"/>
      <c r="K5" s="2"/>
    </row>
    <row r="6" spans="1:11" ht="15.75" customHeight="1">
      <c r="A6" s="43" t="s">
        <v>12</v>
      </c>
      <c r="B6" s="3"/>
      <c r="C6" s="45">
        <v>18000</v>
      </c>
      <c r="D6" s="46">
        <v>10000</v>
      </c>
      <c r="E6" s="47">
        <v>600</v>
      </c>
      <c r="F6" s="48">
        <f t="shared" ref="F6:F63" si="0">D6-E6</f>
        <v>9400</v>
      </c>
      <c r="G6" s="96" t="str">
        <f>IF($D6="","",IF($F6=0,"Pagado",IF($E6&gt;0,"Pago parcial","Pendiente")))</f>
        <v>Pago parcial</v>
      </c>
      <c r="H6" s="50"/>
      <c r="I6" s="23"/>
      <c r="J6" s="2"/>
      <c r="K6" s="2"/>
    </row>
    <row r="7" spans="1:11" ht="15.75" customHeight="1">
      <c r="A7" s="43" t="s">
        <v>14</v>
      </c>
      <c r="B7" s="3"/>
      <c r="C7" s="45">
        <v>3000</v>
      </c>
      <c r="D7" s="46">
        <v>3000</v>
      </c>
      <c r="E7" s="47"/>
      <c r="F7" s="48">
        <f t="shared" si="0"/>
        <v>3000</v>
      </c>
      <c r="G7" s="49" t="str">
        <f t="shared" ref="G7:G63" si="1">IF($D7="","",IF($F7=0,"Pagado",IF($E7&gt;0,"Pago parcial","Pendiente")))</f>
        <v>Pendiente</v>
      </c>
      <c r="H7" s="50"/>
      <c r="I7" s="23"/>
      <c r="J7" s="2"/>
      <c r="K7" s="2"/>
    </row>
    <row r="8" spans="1:11" ht="15.75" customHeight="1">
      <c r="A8" s="43" t="s">
        <v>15</v>
      </c>
      <c r="B8" s="3"/>
      <c r="C8" s="45">
        <v>10000</v>
      </c>
      <c r="D8" s="46">
        <v>10000</v>
      </c>
      <c r="E8" s="47">
        <v>10000</v>
      </c>
      <c r="F8" s="48">
        <f t="shared" si="0"/>
        <v>0</v>
      </c>
      <c r="G8" s="49" t="str">
        <f t="shared" si="1"/>
        <v>Pagado</v>
      </c>
      <c r="H8" s="50"/>
      <c r="I8" s="23"/>
      <c r="J8" s="2"/>
      <c r="K8" s="2"/>
    </row>
    <row r="9" spans="1:11" ht="15.75" customHeight="1">
      <c r="A9" s="43" t="s">
        <v>16</v>
      </c>
      <c r="B9" s="3"/>
      <c r="C9" s="45">
        <v>1800</v>
      </c>
      <c r="D9" s="46"/>
      <c r="E9" s="47"/>
      <c r="F9" s="48">
        <f t="shared" si="0"/>
        <v>0</v>
      </c>
      <c r="G9" s="49" t="str">
        <f t="shared" si="1"/>
        <v/>
      </c>
      <c r="H9" s="50"/>
      <c r="I9" s="23"/>
      <c r="J9" s="2"/>
      <c r="K9" s="2"/>
    </row>
    <row r="10" spans="1:11" ht="15.75" customHeight="1">
      <c r="A10" s="43" t="s">
        <v>17</v>
      </c>
      <c r="B10" s="3"/>
      <c r="C10" s="45">
        <v>1800</v>
      </c>
      <c r="D10" s="46"/>
      <c r="E10" s="47"/>
      <c r="F10" s="48">
        <f t="shared" si="0"/>
        <v>0</v>
      </c>
      <c r="G10" s="49" t="str">
        <f t="shared" si="1"/>
        <v/>
      </c>
      <c r="H10" s="50"/>
      <c r="I10" s="23"/>
      <c r="J10" s="2"/>
      <c r="K10" s="2"/>
    </row>
    <row r="11" spans="1:11" ht="15.75" customHeight="1">
      <c r="A11" s="43" t="s">
        <v>18</v>
      </c>
      <c r="B11" s="3"/>
      <c r="C11" s="45">
        <v>600</v>
      </c>
      <c r="D11" s="46"/>
      <c r="E11" s="47"/>
      <c r="F11" s="48">
        <f t="shared" si="0"/>
        <v>0</v>
      </c>
      <c r="G11" s="49" t="str">
        <f t="shared" si="1"/>
        <v/>
      </c>
      <c r="H11" s="50"/>
      <c r="I11" s="23"/>
      <c r="J11" s="2"/>
      <c r="K11" s="2"/>
    </row>
    <row r="12" spans="1:11" ht="15.75" customHeight="1">
      <c r="A12" s="43" t="s">
        <v>19</v>
      </c>
      <c r="B12" s="3"/>
      <c r="C12" s="45">
        <v>1400</v>
      </c>
      <c r="D12" s="46"/>
      <c r="E12" s="47"/>
      <c r="F12" s="48">
        <f t="shared" si="0"/>
        <v>0</v>
      </c>
      <c r="G12" s="49" t="str">
        <f t="shared" si="1"/>
        <v/>
      </c>
      <c r="H12" s="50" t="s">
        <v>163</v>
      </c>
      <c r="I12" s="23" t="s">
        <v>164</v>
      </c>
      <c r="J12" s="2"/>
      <c r="K12" s="2"/>
    </row>
    <row r="13" spans="1:11" ht="15.75" customHeight="1">
      <c r="A13" s="51" t="s">
        <v>20</v>
      </c>
      <c r="B13" s="52"/>
      <c r="C13" s="53">
        <v>1500</v>
      </c>
      <c r="D13" s="54"/>
      <c r="E13" s="55"/>
      <c r="F13" s="56">
        <f t="shared" si="0"/>
        <v>0</v>
      </c>
      <c r="G13" s="57" t="str">
        <f t="shared" si="1"/>
        <v/>
      </c>
      <c r="H13" s="22" t="s">
        <v>165</v>
      </c>
      <c r="I13" s="24"/>
      <c r="J13" s="2"/>
      <c r="K13" s="2"/>
    </row>
    <row r="14" spans="1:11" ht="15.75" customHeight="1">
      <c r="A14" s="43" t="s">
        <v>21</v>
      </c>
      <c r="B14" s="3"/>
      <c r="C14" s="45">
        <v>1200</v>
      </c>
      <c r="D14" s="46"/>
      <c r="E14" s="47"/>
      <c r="F14" s="48">
        <f t="shared" si="0"/>
        <v>0</v>
      </c>
      <c r="G14" s="49" t="str">
        <f t="shared" si="1"/>
        <v/>
      </c>
      <c r="H14" s="50"/>
      <c r="I14" s="23"/>
      <c r="J14" s="2"/>
      <c r="K14" s="2"/>
    </row>
    <row r="15" spans="1:11" ht="15.75" customHeight="1">
      <c r="A15" s="43" t="s">
        <v>22</v>
      </c>
      <c r="B15" s="3"/>
      <c r="C15" s="45">
        <v>1000</v>
      </c>
      <c r="D15" s="46"/>
      <c r="E15" s="47"/>
      <c r="F15" s="48">
        <f t="shared" si="0"/>
        <v>0</v>
      </c>
      <c r="G15" s="49" t="str">
        <f t="shared" si="1"/>
        <v/>
      </c>
      <c r="H15" s="50"/>
      <c r="I15" s="23"/>
      <c r="J15" s="2"/>
      <c r="K15" s="2"/>
    </row>
    <row r="16" spans="1:11" ht="15.75" customHeight="1">
      <c r="A16" s="43" t="s">
        <v>23</v>
      </c>
      <c r="B16" s="3"/>
      <c r="C16" s="45">
        <v>300</v>
      </c>
      <c r="D16" s="46"/>
      <c r="E16" s="47"/>
      <c r="F16" s="48">
        <f t="shared" si="0"/>
        <v>0</v>
      </c>
      <c r="G16" s="49" t="str">
        <f t="shared" si="1"/>
        <v/>
      </c>
      <c r="H16" s="50"/>
      <c r="I16" s="23"/>
      <c r="J16" s="2"/>
      <c r="K16" s="2"/>
    </row>
    <row r="17" spans="1:11" ht="15.75" customHeight="1">
      <c r="A17" s="43" t="s">
        <v>24</v>
      </c>
      <c r="B17" s="3"/>
      <c r="C17" s="45">
        <v>500</v>
      </c>
      <c r="D17" s="46"/>
      <c r="E17" s="47"/>
      <c r="F17" s="48">
        <f t="shared" si="0"/>
        <v>0</v>
      </c>
      <c r="G17" s="49" t="str">
        <f t="shared" si="1"/>
        <v/>
      </c>
      <c r="H17" s="50"/>
      <c r="I17" s="23"/>
      <c r="J17" s="2"/>
      <c r="K17" s="2"/>
    </row>
    <row r="18" spans="1:11" ht="15.75" customHeight="1">
      <c r="A18" s="43" t="s">
        <v>166</v>
      </c>
      <c r="B18" s="3"/>
      <c r="C18" s="45"/>
      <c r="D18" s="46"/>
      <c r="E18" s="47"/>
      <c r="F18" s="48">
        <f t="shared" si="0"/>
        <v>0</v>
      </c>
      <c r="G18" s="49" t="str">
        <f t="shared" si="1"/>
        <v/>
      </c>
      <c r="H18" s="50"/>
      <c r="I18" s="23"/>
      <c r="J18" s="2"/>
      <c r="K18" s="2"/>
    </row>
    <row r="19" spans="1:11" ht="15.75" customHeight="1">
      <c r="A19" s="23" t="s">
        <v>23</v>
      </c>
      <c r="B19" s="44"/>
      <c r="C19" s="45"/>
      <c r="D19" s="46"/>
      <c r="E19" s="47"/>
      <c r="F19" s="48">
        <f t="shared" si="0"/>
        <v>0</v>
      </c>
      <c r="G19" s="49" t="str">
        <f t="shared" si="1"/>
        <v/>
      </c>
      <c r="H19" s="50"/>
      <c r="I19" s="23"/>
      <c r="J19" s="2"/>
      <c r="K19" s="2"/>
    </row>
    <row r="20" spans="1:11" ht="15.75" customHeight="1">
      <c r="A20" s="23" t="s">
        <v>167</v>
      </c>
      <c r="B20" s="44"/>
      <c r="C20" s="45">
        <v>0</v>
      </c>
      <c r="D20" s="46"/>
      <c r="E20" s="47"/>
      <c r="F20" s="48">
        <f t="shared" si="0"/>
        <v>0</v>
      </c>
      <c r="G20" s="49" t="str">
        <f t="shared" si="1"/>
        <v/>
      </c>
      <c r="H20" s="50"/>
      <c r="I20" s="58"/>
      <c r="J20" s="2"/>
      <c r="K20" s="2"/>
    </row>
    <row r="21" spans="1:11" ht="15.75" customHeight="1">
      <c r="A21" s="43"/>
      <c r="B21" s="3"/>
      <c r="C21" s="45"/>
      <c r="D21" s="46"/>
      <c r="E21" s="47"/>
      <c r="F21" s="48">
        <f t="shared" si="0"/>
        <v>0</v>
      </c>
      <c r="G21" s="49" t="str">
        <f t="shared" si="1"/>
        <v/>
      </c>
      <c r="H21" s="50"/>
      <c r="I21" s="23"/>
      <c r="J21" s="2"/>
      <c r="K21" s="2"/>
    </row>
    <row r="22" spans="1:11" ht="15.75" customHeight="1">
      <c r="A22" s="43"/>
      <c r="B22" s="3"/>
      <c r="C22" s="45"/>
      <c r="D22" s="46"/>
      <c r="E22" s="47"/>
      <c r="F22" s="48">
        <f t="shared" si="0"/>
        <v>0</v>
      </c>
      <c r="G22" s="49" t="str">
        <f t="shared" si="1"/>
        <v/>
      </c>
      <c r="H22" s="50"/>
      <c r="I22" s="23"/>
      <c r="J22" s="2"/>
      <c r="K22" s="2"/>
    </row>
    <row r="23" spans="1:11" ht="15.75" customHeight="1">
      <c r="A23" s="43"/>
      <c r="B23" s="3"/>
      <c r="C23" s="45"/>
      <c r="D23" s="46"/>
      <c r="E23" s="47"/>
      <c r="F23" s="48">
        <f t="shared" si="0"/>
        <v>0</v>
      </c>
      <c r="G23" s="49" t="str">
        <f t="shared" si="1"/>
        <v/>
      </c>
      <c r="H23" s="50"/>
      <c r="I23" s="23"/>
      <c r="J23" s="2"/>
      <c r="K23" s="2"/>
    </row>
    <row r="24" spans="1:11" ht="15.75" customHeight="1">
      <c r="A24" s="43"/>
      <c r="B24" s="3"/>
      <c r="C24" s="45"/>
      <c r="D24" s="46"/>
      <c r="E24" s="47"/>
      <c r="F24" s="48">
        <f t="shared" si="0"/>
        <v>0</v>
      </c>
      <c r="G24" s="49" t="str">
        <f t="shared" si="1"/>
        <v/>
      </c>
      <c r="H24" s="50"/>
      <c r="I24" s="23"/>
      <c r="J24" s="2"/>
      <c r="K24" s="2"/>
    </row>
    <row r="25" spans="1:11" ht="15.75" customHeight="1">
      <c r="A25" s="43"/>
      <c r="B25" s="3"/>
      <c r="C25" s="45"/>
      <c r="D25" s="46"/>
      <c r="E25" s="47"/>
      <c r="F25" s="48">
        <f t="shared" si="0"/>
        <v>0</v>
      </c>
      <c r="G25" s="49" t="str">
        <f t="shared" si="1"/>
        <v/>
      </c>
      <c r="H25" s="50"/>
      <c r="I25" s="23"/>
      <c r="J25" s="2"/>
      <c r="K25" s="2"/>
    </row>
    <row r="26" spans="1:11" ht="15.75" customHeight="1">
      <c r="A26" s="43"/>
      <c r="B26" s="3"/>
      <c r="C26" s="45"/>
      <c r="D26" s="46"/>
      <c r="E26" s="47"/>
      <c r="F26" s="48">
        <f t="shared" si="0"/>
        <v>0</v>
      </c>
      <c r="G26" s="49" t="str">
        <f t="shared" si="1"/>
        <v/>
      </c>
      <c r="H26" s="50"/>
      <c r="I26" s="23"/>
      <c r="J26" s="2"/>
      <c r="K26" s="2"/>
    </row>
    <row r="27" spans="1:11" ht="15.75" customHeight="1">
      <c r="A27" s="43"/>
      <c r="B27" s="3"/>
      <c r="C27" s="45"/>
      <c r="D27" s="46"/>
      <c r="E27" s="47"/>
      <c r="F27" s="48">
        <f t="shared" si="0"/>
        <v>0</v>
      </c>
      <c r="G27" s="49" t="str">
        <f t="shared" si="1"/>
        <v/>
      </c>
      <c r="H27" s="50"/>
      <c r="I27" s="23"/>
      <c r="J27" s="2"/>
      <c r="K27" s="2"/>
    </row>
    <row r="28" spans="1:11" ht="15.75" customHeight="1">
      <c r="A28" s="43"/>
      <c r="B28" s="3"/>
      <c r="C28" s="45"/>
      <c r="D28" s="46"/>
      <c r="E28" s="47"/>
      <c r="F28" s="48">
        <f t="shared" si="0"/>
        <v>0</v>
      </c>
      <c r="G28" s="49" t="str">
        <f t="shared" si="1"/>
        <v/>
      </c>
      <c r="H28" s="50"/>
      <c r="I28" s="23"/>
      <c r="J28" s="2"/>
      <c r="K28" s="2"/>
    </row>
    <row r="29" spans="1:11" ht="15.75" customHeight="1">
      <c r="A29" s="43"/>
      <c r="B29" s="3"/>
      <c r="C29" s="45"/>
      <c r="D29" s="46"/>
      <c r="E29" s="47"/>
      <c r="F29" s="48">
        <f t="shared" si="0"/>
        <v>0</v>
      </c>
      <c r="G29" s="49" t="str">
        <f t="shared" si="1"/>
        <v/>
      </c>
      <c r="H29" s="50"/>
      <c r="I29" s="23"/>
      <c r="J29" s="2"/>
      <c r="K29" s="2"/>
    </row>
    <row r="30" spans="1:11" ht="15.75" customHeight="1">
      <c r="A30" s="43"/>
      <c r="B30" s="3"/>
      <c r="C30" s="45"/>
      <c r="D30" s="46"/>
      <c r="E30" s="47"/>
      <c r="F30" s="48">
        <f t="shared" si="0"/>
        <v>0</v>
      </c>
      <c r="G30" s="49" t="str">
        <f t="shared" si="1"/>
        <v/>
      </c>
      <c r="H30" s="50"/>
      <c r="I30" s="23"/>
      <c r="J30" s="2"/>
      <c r="K30" s="2"/>
    </row>
    <row r="31" spans="1:11" ht="15.75" customHeight="1">
      <c r="A31" s="43"/>
      <c r="B31" s="3"/>
      <c r="C31" s="45"/>
      <c r="D31" s="46"/>
      <c r="E31" s="47"/>
      <c r="F31" s="48">
        <f t="shared" si="0"/>
        <v>0</v>
      </c>
      <c r="G31" s="49" t="str">
        <f t="shared" si="1"/>
        <v/>
      </c>
      <c r="H31" s="50"/>
      <c r="I31" s="23"/>
      <c r="J31" s="2"/>
      <c r="K31" s="2"/>
    </row>
    <row r="32" spans="1:11" ht="15.75" customHeight="1">
      <c r="A32" s="43"/>
      <c r="B32" s="3"/>
      <c r="C32" s="45"/>
      <c r="D32" s="46"/>
      <c r="E32" s="47"/>
      <c r="F32" s="48">
        <f t="shared" si="0"/>
        <v>0</v>
      </c>
      <c r="G32" s="49" t="str">
        <f t="shared" si="1"/>
        <v/>
      </c>
      <c r="H32" s="50"/>
      <c r="I32" s="23"/>
      <c r="J32" s="2"/>
      <c r="K32" s="2"/>
    </row>
    <row r="33" spans="1:11" ht="15.75" customHeight="1">
      <c r="A33" s="43"/>
      <c r="B33" s="3"/>
      <c r="C33" s="45"/>
      <c r="D33" s="46"/>
      <c r="E33" s="47"/>
      <c r="F33" s="48">
        <f t="shared" si="0"/>
        <v>0</v>
      </c>
      <c r="G33" s="49" t="str">
        <f t="shared" si="1"/>
        <v/>
      </c>
      <c r="H33" s="50"/>
      <c r="I33" s="23"/>
      <c r="J33" s="2"/>
      <c r="K33" s="2"/>
    </row>
    <row r="34" spans="1:11" ht="15.75" customHeight="1">
      <c r="A34" s="43"/>
      <c r="B34" s="3"/>
      <c r="C34" s="45"/>
      <c r="D34" s="46"/>
      <c r="E34" s="47"/>
      <c r="F34" s="48">
        <f t="shared" si="0"/>
        <v>0</v>
      </c>
      <c r="G34" s="49" t="str">
        <f t="shared" si="1"/>
        <v/>
      </c>
      <c r="H34" s="50"/>
      <c r="I34" s="23"/>
      <c r="J34" s="2"/>
      <c r="K34" s="2"/>
    </row>
    <row r="35" spans="1:11" ht="15.75" customHeight="1">
      <c r="A35" s="43"/>
      <c r="B35" s="3"/>
      <c r="C35" s="45"/>
      <c r="D35" s="46"/>
      <c r="E35" s="47"/>
      <c r="F35" s="48">
        <f t="shared" si="0"/>
        <v>0</v>
      </c>
      <c r="G35" s="49" t="str">
        <f t="shared" si="1"/>
        <v/>
      </c>
      <c r="H35" s="50"/>
      <c r="I35" s="23"/>
      <c r="J35" s="2"/>
      <c r="K35" s="2"/>
    </row>
    <row r="36" spans="1:11" ht="15.75" customHeight="1">
      <c r="A36" s="43"/>
      <c r="B36" s="3"/>
      <c r="C36" s="45"/>
      <c r="D36" s="46"/>
      <c r="E36" s="47"/>
      <c r="F36" s="48">
        <f t="shared" si="0"/>
        <v>0</v>
      </c>
      <c r="G36" s="49" t="str">
        <f t="shared" si="1"/>
        <v/>
      </c>
      <c r="H36" s="50"/>
      <c r="I36" s="23"/>
      <c r="J36" s="2"/>
      <c r="K36" s="2"/>
    </row>
    <row r="37" spans="1:11" ht="15.75" customHeight="1">
      <c r="A37" s="43"/>
      <c r="B37" s="3"/>
      <c r="C37" s="45"/>
      <c r="D37" s="46"/>
      <c r="E37" s="47"/>
      <c r="F37" s="48">
        <f t="shared" si="0"/>
        <v>0</v>
      </c>
      <c r="G37" s="49" t="str">
        <f t="shared" si="1"/>
        <v/>
      </c>
      <c r="H37" s="50"/>
      <c r="I37" s="23"/>
      <c r="J37" s="2"/>
      <c r="K37" s="2"/>
    </row>
    <row r="38" spans="1:11" ht="15.75" customHeight="1">
      <c r="A38" s="43"/>
      <c r="B38" s="3"/>
      <c r="C38" s="45"/>
      <c r="D38" s="46"/>
      <c r="E38" s="47"/>
      <c r="F38" s="48">
        <f t="shared" si="0"/>
        <v>0</v>
      </c>
      <c r="G38" s="49" t="str">
        <f t="shared" si="1"/>
        <v/>
      </c>
      <c r="H38" s="50"/>
      <c r="I38" s="23"/>
      <c r="J38" s="2"/>
      <c r="K38" s="2"/>
    </row>
    <row r="39" spans="1:11" ht="15.75" customHeight="1">
      <c r="A39" s="43"/>
      <c r="B39" s="3"/>
      <c r="C39" s="45"/>
      <c r="D39" s="46"/>
      <c r="E39" s="47"/>
      <c r="F39" s="48">
        <f t="shared" si="0"/>
        <v>0</v>
      </c>
      <c r="G39" s="49" t="str">
        <f t="shared" si="1"/>
        <v/>
      </c>
      <c r="H39" s="50"/>
      <c r="I39" s="23"/>
      <c r="J39" s="2"/>
      <c r="K39" s="2"/>
    </row>
    <row r="40" spans="1:11" ht="15.75" customHeight="1">
      <c r="A40" s="43"/>
      <c r="B40" s="3"/>
      <c r="C40" s="45"/>
      <c r="D40" s="46"/>
      <c r="E40" s="47"/>
      <c r="F40" s="48">
        <f t="shared" si="0"/>
        <v>0</v>
      </c>
      <c r="G40" s="49" t="str">
        <f t="shared" si="1"/>
        <v/>
      </c>
      <c r="H40" s="50"/>
      <c r="I40" s="23"/>
      <c r="J40" s="2"/>
      <c r="K40" s="2"/>
    </row>
    <row r="41" spans="1:11" ht="15.75" customHeight="1">
      <c r="A41" s="43"/>
      <c r="B41" s="3"/>
      <c r="C41" s="45"/>
      <c r="D41" s="46"/>
      <c r="E41" s="47"/>
      <c r="F41" s="48">
        <f t="shared" si="0"/>
        <v>0</v>
      </c>
      <c r="G41" s="49" t="str">
        <f t="shared" si="1"/>
        <v/>
      </c>
      <c r="H41" s="50"/>
      <c r="I41" s="23"/>
      <c r="J41" s="2"/>
      <c r="K41" s="2"/>
    </row>
    <row r="42" spans="1:11" ht="15.75" customHeight="1">
      <c r="A42" s="43"/>
      <c r="B42" s="3"/>
      <c r="C42" s="45"/>
      <c r="D42" s="46"/>
      <c r="E42" s="47"/>
      <c r="F42" s="48">
        <f t="shared" si="0"/>
        <v>0</v>
      </c>
      <c r="G42" s="49" t="str">
        <f t="shared" si="1"/>
        <v/>
      </c>
      <c r="H42" s="50"/>
      <c r="I42" s="23"/>
      <c r="J42" s="2"/>
      <c r="K42" s="2"/>
    </row>
    <row r="43" spans="1:11" ht="15.75" customHeight="1">
      <c r="A43" s="43"/>
      <c r="B43" s="3"/>
      <c r="C43" s="45"/>
      <c r="D43" s="46"/>
      <c r="E43" s="47"/>
      <c r="F43" s="48">
        <f t="shared" si="0"/>
        <v>0</v>
      </c>
      <c r="G43" s="49" t="str">
        <f t="shared" si="1"/>
        <v/>
      </c>
      <c r="H43" s="50"/>
      <c r="I43" s="23"/>
      <c r="J43" s="2"/>
      <c r="K43" s="2"/>
    </row>
    <row r="44" spans="1:11" ht="15.75" customHeight="1">
      <c r="A44" s="43"/>
      <c r="B44" s="3"/>
      <c r="C44" s="45"/>
      <c r="D44" s="46"/>
      <c r="E44" s="47"/>
      <c r="F44" s="48">
        <f t="shared" si="0"/>
        <v>0</v>
      </c>
      <c r="G44" s="49" t="str">
        <f t="shared" si="1"/>
        <v/>
      </c>
      <c r="H44" s="50"/>
      <c r="I44" s="23"/>
      <c r="J44" s="2"/>
      <c r="K44" s="2"/>
    </row>
    <row r="45" spans="1:11" ht="15.75" customHeight="1">
      <c r="A45" s="43"/>
      <c r="B45" s="3"/>
      <c r="C45" s="45"/>
      <c r="D45" s="46"/>
      <c r="E45" s="47"/>
      <c r="F45" s="48">
        <f t="shared" si="0"/>
        <v>0</v>
      </c>
      <c r="G45" s="49" t="str">
        <f t="shared" si="1"/>
        <v/>
      </c>
      <c r="H45" s="50"/>
      <c r="I45" s="23"/>
      <c r="J45" s="2"/>
      <c r="K45" s="2"/>
    </row>
    <row r="46" spans="1:11" ht="15.75" customHeight="1">
      <c r="A46" s="43"/>
      <c r="B46" s="3"/>
      <c r="C46" s="45"/>
      <c r="D46" s="46"/>
      <c r="E46" s="47"/>
      <c r="F46" s="48">
        <f t="shared" si="0"/>
        <v>0</v>
      </c>
      <c r="G46" s="49" t="str">
        <f t="shared" si="1"/>
        <v/>
      </c>
      <c r="H46" s="50"/>
      <c r="I46" s="23"/>
      <c r="J46" s="2"/>
      <c r="K46" s="2"/>
    </row>
    <row r="47" spans="1:11" ht="15.75" customHeight="1">
      <c r="A47" s="43"/>
      <c r="B47" s="3"/>
      <c r="C47" s="45"/>
      <c r="D47" s="46"/>
      <c r="E47" s="47"/>
      <c r="F47" s="48">
        <f t="shared" si="0"/>
        <v>0</v>
      </c>
      <c r="G47" s="49" t="str">
        <f t="shared" si="1"/>
        <v/>
      </c>
      <c r="H47" s="50"/>
      <c r="I47" s="23"/>
      <c r="J47" s="2"/>
      <c r="K47" s="2"/>
    </row>
    <row r="48" spans="1:11" ht="15.75" customHeight="1">
      <c r="A48" s="43"/>
      <c r="B48" s="3"/>
      <c r="C48" s="45"/>
      <c r="D48" s="46"/>
      <c r="E48" s="47"/>
      <c r="F48" s="48">
        <f t="shared" si="0"/>
        <v>0</v>
      </c>
      <c r="G48" s="49" t="str">
        <f t="shared" si="1"/>
        <v/>
      </c>
      <c r="H48" s="50"/>
      <c r="I48" s="23"/>
      <c r="J48" s="2"/>
      <c r="K48" s="2"/>
    </row>
    <row r="49" spans="1:11" ht="15.75" customHeight="1">
      <c r="A49" s="43"/>
      <c r="B49" s="3"/>
      <c r="C49" s="45"/>
      <c r="D49" s="46"/>
      <c r="E49" s="47"/>
      <c r="F49" s="48">
        <f t="shared" si="0"/>
        <v>0</v>
      </c>
      <c r="G49" s="49" t="str">
        <f t="shared" si="1"/>
        <v/>
      </c>
      <c r="H49" s="50"/>
      <c r="I49" s="23"/>
      <c r="J49" s="2"/>
      <c r="K49" s="2"/>
    </row>
    <row r="50" spans="1:11" ht="15.75" customHeight="1">
      <c r="A50" s="43"/>
      <c r="B50" s="3"/>
      <c r="C50" s="45"/>
      <c r="D50" s="46"/>
      <c r="E50" s="47"/>
      <c r="F50" s="48">
        <f t="shared" si="0"/>
        <v>0</v>
      </c>
      <c r="G50" s="49" t="str">
        <f t="shared" si="1"/>
        <v/>
      </c>
      <c r="H50" s="50"/>
      <c r="I50" s="23"/>
      <c r="J50" s="2"/>
      <c r="K50" s="2"/>
    </row>
    <row r="51" spans="1:11" ht="15.75" customHeight="1">
      <c r="A51" s="43"/>
      <c r="B51" s="3"/>
      <c r="C51" s="45"/>
      <c r="D51" s="46"/>
      <c r="E51" s="47"/>
      <c r="F51" s="48">
        <f t="shared" si="0"/>
        <v>0</v>
      </c>
      <c r="G51" s="49" t="str">
        <f t="shared" si="1"/>
        <v/>
      </c>
      <c r="H51" s="50"/>
      <c r="I51" s="23"/>
      <c r="J51" s="2"/>
      <c r="K51" s="2"/>
    </row>
    <row r="52" spans="1:11" ht="15.75" customHeight="1">
      <c r="A52" s="43"/>
      <c r="B52" s="3"/>
      <c r="C52" s="45"/>
      <c r="D52" s="46"/>
      <c r="E52" s="47"/>
      <c r="F52" s="48">
        <f t="shared" si="0"/>
        <v>0</v>
      </c>
      <c r="G52" s="49" t="str">
        <f t="shared" si="1"/>
        <v/>
      </c>
      <c r="H52" s="50"/>
      <c r="I52" s="23"/>
      <c r="J52" s="2"/>
      <c r="K52" s="2"/>
    </row>
    <row r="53" spans="1:11" ht="15.75" customHeight="1">
      <c r="A53" s="43"/>
      <c r="B53" s="3"/>
      <c r="C53" s="45"/>
      <c r="D53" s="46"/>
      <c r="E53" s="47"/>
      <c r="F53" s="48">
        <f t="shared" si="0"/>
        <v>0</v>
      </c>
      <c r="G53" s="49" t="str">
        <f t="shared" si="1"/>
        <v/>
      </c>
      <c r="H53" s="50"/>
      <c r="I53" s="23"/>
      <c r="J53" s="2"/>
      <c r="K53" s="2"/>
    </row>
    <row r="54" spans="1:11" ht="15.75" customHeight="1">
      <c r="A54" s="43"/>
      <c r="B54" s="3"/>
      <c r="C54" s="45"/>
      <c r="D54" s="46"/>
      <c r="E54" s="47"/>
      <c r="F54" s="48">
        <f t="shared" si="0"/>
        <v>0</v>
      </c>
      <c r="G54" s="49" t="str">
        <f t="shared" si="1"/>
        <v/>
      </c>
      <c r="H54" s="50"/>
      <c r="I54" s="23"/>
      <c r="J54" s="2"/>
      <c r="K54" s="2"/>
    </row>
    <row r="55" spans="1:11" ht="15.75" customHeight="1">
      <c r="A55" s="43"/>
      <c r="B55" s="3"/>
      <c r="C55" s="45"/>
      <c r="D55" s="46"/>
      <c r="E55" s="47"/>
      <c r="F55" s="48">
        <f t="shared" si="0"/>
        <v>0</v>
      </c>
      <c r="G55" s="49" t="str">
        <f t="shared" si="1"/>
        <v/>
      </c>
      <c r="H55" s="50"/>
      <c r="I55" s="23"/>
      <c r="J55" s="2"/>
      <c r="K55" s="2"/>
    </row>
    <row r="56" spans="1:11" ht="15.75" customHeight="1">
      <c r="A56" s="43"/>
      <c r="B56" s="3"/>
      <c r="C56" s="45"/>
      <c r="D56" s="46"/>
      <c r="E56" s="47"/>
      <c r="F56" s="48">
        <f t="shared" si="0"/>
        <v>0</v>
      </c>
      <c r="G56" s="49" t="str">
        <f t="shared" si="1"/>
        <v/>
      </c>
      <c r="H56" s="50"/>
      <c r="I56" s="23"/>
      <c r="J56" s="2"/>
      <c r="K56" s="2"/>
    </row>
    <row r="57" spans="1:11" ht="15.75" customHeight="1">
      <c r="A57" s="43"/>
      <c r="B57" s="3"/>
      <c r="C57" s="45"/>
      <c r="D57" s="46"/>
      <c r="E57" s="47"/>
      <c r="F57" s="48">
        <f t="shared" si="0"/>
        <v>0</v>
      </c>
      <c r="G57" s="49" t="str">
        <f t="shared" si="1"/>
        <v/>
      </c>
      <c r="H57" s="50"/>
      <c r="I57" s="23"/>
      <c r="J57" s="2"/>
      <c r="K57" s="2"/>
    </row>
    <row r="58" spans="1:11" ht="15.75" customHeight="1">
      <c r="A58" s="43"/>
      <c r="B58" s="3"/>
      <c r="C58" s="45"/>
      <c r="D58" s="46"/>
      <c r="E58" s="47"/>
      <c r="F58" s="48">
        <f t="shared" si="0"/>
        <v>0</v>
      </c>
      <c r="G58" s="49" t="str">
        <f t="shared" si="1"/>
        <v/>
      </c>
      <c r="H58" s="50"/>
      <c r="I58" s="23"/>
      <c r="J58" s="2"/>
      <c r="K58" s="2"/>
    </row>
    <row r="59" spans="1:11" ht="15.75" customHeight="1">
      <c r="A59" s="43"/>
      <c r="B59" s="3"/>
      <c r="C59" s="45"/>
      <c r="D59" s="46"/>
      <c r="E59" s="47"/>
      <c r="F59" s="48">
        <f t="shared" si="0"/>
        <v>0</v>
      </c>
      <c r="G59" s="49" t="str">
        <f t="shared" si="1"/>
        <v/>
      </c>
      <c r="H59" s="50"/>
      <c r="I59" s="23"/>
      <c r="J59" s="2"/>
      <c r="K59" s="2"/>
    </row>
    <row r="60" spans="1:11" ht="15.75" customHeight="1">
      <c r="A60" s="43"/>
      <c r="B60" s="3"/>
      <c r="C60" s="45"/>
      <c r="D60" s="46"/>
      <c r="E60" s="47"/>
      <c r="F60" s="48">
        <f t="shared" si="0"/>
        <v>0</v>
      </c>
      <c r="G60" s="49" t="str">
        <f t="shared" si="1"/>
        <v/>
      </c>
      <c r="H60" s="50"/>
      <c r="I60" s="23"/>
      <c r="J60" s="2"/>
      <c r="K60" s="2"/>
    </row>
    <row r="61" spans="1:11" ht="15.75" customHeight="1">
      <c r="A61" s="43"/>
      <c r="B61" s="3"/>
      <c r="C61" s="45"/>
      <c r="D61" s="46"/>
      <c r="E61" s="47"/>
      <c r="F61" s="48">
        <f t="shared" si="0"/>
        <v>0</v>
      </c>
      <c r="G61" s="49" t="str">
        <f t="shared" si="1"/>
        <v/>
      </c>
      <c r="H61" s="50"/>
      <c r="I61" s="23"/>
      <c r="J61" s="2"/>
      <c r="K61" s="2"/>
    </row>
    <row r="62" spans="1:11" ht="15.75" customHeight="1">
      <c r="A62" s="43"/>
      <c r="B62" s="3"/>
      <c r="C62" s="45"/>
      <c r="D62" s="46"/>
      <c r="E62" s="47"/>
      <c r="F62" s="48">
        <f t="shared" si="0"/>
        <v>0</v>
      </c>
      <c r="G62" s="49" t="str">
        <f t="shared" si="1"/>
        <v/>
      </c>
      <c r="H62" s="50"/>
      <c r="I62" s="23"/>
      <c r="J62" s="2"/>
      <c r="K62" s="2"/>
    </row>
    <row r="63" spans="1:11" ht="15.75" customHeight="1">
      <c r="A63" s="43"/>
      <c r="B63" s="3"/>
      <c r="C63" s="45"/>
      <c r="D63" s="46"/>
      <c r="E63" s="47"/>
      <c r="F63" s="48">
        <f t="shared" si="0"/>
        <v>0</v>
      </c>
      <c r="G63" s="49" t="str">
        <f t="shared" si="1"/>
        <v/>
      </c>
      <c r="H63" s="50"/>
      <c r="I63" s="23"/>
      <c r="J63" s="2"/>
      <c r="K63" s="2"/>
    </row>
    <row r="64" spans="1:1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</sheetData>
  <mergeCells count="8">
    <mergeCell ref="A4:B4"/>
    <mergeCell ref="A1:G1"/>
    <mergeCell ref="H2:H3"/>
    <mergeCell ref="I2:I3"/>
    <mergeCell ref="G2:G3"/>
    <mergeCell ref="C2:C3"/>
    <mergeCell ref="D2:D3"/>
    <mergeCell ref="E2:E3"/>
  </mergeCells>
  <conditionalFormatting sqref="A5:A18 A19:B20">
    <cfRule type="expression" dxfId="36" priority="1">
      <formula>I5</formula>
    </cfRule>
  </conditionalFormatting>
  <conditionalFormatting sqref="A5 A19:A20">
    <cfRule type="cellIs" dxfId="35" priority="2" operator="equal">
      <formula>"Sí"</formula>
    </cfRule>
  </conditionalFormatting>
  <conditionalFormatting sqref="A5 A19:A20">
    <cfRule type="cellIs" dxfId="34" priority="3" operator="equal">
      <formula>"NO"</formula>
    </cfRule>
  </conditionalFormatting>
  <conditionalFormatting sqref="A21:A63">
    <cfRule type="expression" dxfId="33" priority="6">
      <formula>I21</formula>
    </cfRule>
  </conditionalFormatting>
  <conditionalFormatting sqref="A6:A10">
    <cfRule type="cellIs" dxfId="32" priority="7" operator="equal">
      <formula>"Sí"</formula>
    </cfRule>
  </conditionalFormatting>
  <conditionalFormatting sqref="A6:A10">
    <cfRule type="cellIs" dxfId="31" priority="8" operator="equal">
      <formula>"NO"</formula>
    </cfRule>
  </conditionalFormatting>
  <conditionalFormatting sqref="A2:A4 A11:A18 A21:A63">
    <cfRule type="cellIs" dxfId="30" priority="9" operator="equal">
      <formula>"Sí"</formula>
    </cfRule>
  </conditionalFormatting>
  <conditionalFormatting sqref="A2:A4 A11:A18 A21:A63">
    <cfRule type="cellIs" dxfId="29" priority="10" operator="equal">
      <formula>"NO"</formula>
    </cfRule>
  </conditionalFormatting>
  <conditionalFormatting sqref="B21:B63 B5:B18">
    <cfRule type="expression" dxfId="28" priority="14">
      <formula>#REF!</formula>
    </cfRule>
  </conditionalFormatting>
  <conditionalFormatting sqref="C5:C63">
    <cfRule type="expression" dxfId="27" priority="15">
      <formula>A5</formula>
    </cfRule>
  </conditionalFormatting>
  <conditionalFormatting sqref="D5:D63">
    <cfRule type="expression" dxfId="26" priority="16">
      <formula>A5</formula>
    </cfRule>
  </conditionalFormatting>
  <conditionalFormatting sqref="E5:E63">
    <cfRule type="expression" dxfId="25" priority="17">
      <formula>A5</formula>
    </cfRule>
  </conditionalFormatting>
  <conditionalFormatting sqref="G5:G63">
    <cfRule type="cellIs" dxfId="24" priority="18" operator="equal">
      <formula>"Pagado"</formula>
    </cfRule>
  </conditionalFormatting>
  <conditionalFormatting sqref="G5:G63">
    <cfRule type="cellIs" dxfId="23" priority="19" operator="equal">
      <formula>"Pago parcial"</formula>
    </cfRule>
  </conditionalFormatting>
  <conditionalFormatting sqref="G5:G63">
    <cfRule type="cellIs" dxfId="22" priority="20" operator="equal">
      <formula>"Pendiente"</formula>
    </cfRule>
  </conditionalFormatting>
  <pageMargins left="0.7" right="0.7" top="0.75" bottom="0.75" header="0" footer="0"/>
  <pageSetup paperSize="9" orientation="portrait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</sheetPr>
  <dimension ref="A1:K84"/>
  <sheetViews>
    <sheetView showGridLines="0" workbookViewId="0">
      <pane ySplit="1" topLeftCell="A8" activePane="bottomLeft" state="frozen"/>
      <selection pane="bottomLeft" activeCell="A18" sqref="A18"/>
    </sheetView>
  </sheetViews>
  <sheetFormatPr baseColWidth="10" defaultColWidth="14.44140625" defaultRowHeight="15" customHeight="1"/>
  <cols>
    <col min="1" max="1" width="40.5546875" customWidth="1"/>
    <col min="2" max="2" width="23.44140625" customWidth="1"/>
    <col min="3" max="3" width="124.88671875" customWidth="1"/>
    <col min="4" max="6" width="11.44140625" customWidth="1"/>
    <col min="7" max="11" width="10.6640625" customWidth="1"/>
  </cols>
  <sheetData>
    <row r="1" spans="1:11" ht="36" customHeight="1">
      <c r="A1" s="139" t="s">
        <v>222</v>
      </c>
      <c r="B1" s="123"/>
      <c r="C1" s="88" t="s">
        <v>148</v>
      </c>
      <c r="D1" s="59"/>
      <c r="E1" s="59"/>
      <c r="F1" s="59"/>
      <c r="G1" s="59"/>
      <c r="H1" s="59"/>
      <c r="I1" s="59"/>
      <c r="J1" s="59"/>
      <c r="K1" s="59"/>
    </row>
    <row r="2" spans="1:11" ht="34.5" customHeight="1">
      <c r="A2" s="88" t="s">
        <v>168</v>
      </c>
      <c r="B2" s="89">
        <f>Gastos!B2</f>
        <v>23000</v>
      </c>
      <c r="C2" s="60" t="s">
        <v>169</v>
      </c>
      <c r="D2" s="59"/>
      <c r="E2" s="59"/>
      <c r="F2" s="59"/>
      <c r="G2" s="59"/>
      <c r="H2" s="59"/>
      <c r="I2" s="59"/>
      <c r="J2" s="59"/>
      <c r="K2" s="59"/>
    </row>
    <row r="3" spans="1:11" ht="17.399999999999999">
      <c r="A3" s="88" t="s">
        <v>170</v>
      </c>
      <c r="B3" s="89">
        <f>B2/(B4+B5)</f>
        <v>3285.7142857142858</v>
      </c>
      <c r="C3" s="61"/>
      <c r="D3" s="59"/>
      <c r="E3" s="59"/>
      <c r="F3" s="59"/>
      <c r="G3" s="59"/>
      <c r="H3" s="59"/>
      <c r="I3" s="59"/>
      <c r="J3" s="59"/>
      <c r="K3" s="59"/>
    </row>
    <row r="4" spans="1:11" ht="16.8">
      <c r="A4" s="62" t="s">
        <v>171</v>
      </c>
      <c r="B4" s="63">
        <f>COUNTA(Invitados!C$4:C$197)</f>
        <v>5</v>
      </c>
      <c r="C4" s="60"/>
      <c r="D4" s="59"/>
      <c r="E4" s="59"/>
      <c r="F4" s="59"/>
      <c r="G4" s="59"/>
      <c r="H4" s="59"/>
      <c r="I4" s="59"/>
      <c r="J4" s="59"/>
      <c r="K4" s="59"/>
    </row>
    <row r="5" spans="1:11" ht="16.8">
      <c r="A5" s="64" t="s">
        <v>172</v>
      </c>
      <c r="B5" s="65">
        <f>COUNTIF(Invitados!C3:C197,"Sí")</f>
        <v>2</v>
      </c>
      <c r="C5" s="66"/>
      <c r="D5" s="59"/>
      <c r="E5" s="59"/>
      <c r="F5" s="59"/>
      <c r="G5" s="59"/>
      <c r="H5" s="59"/>
      <c r="I5" s="59"/>
      <c r="J5" s="59"/>
      <c r="K5" s="59"/>
    </row>
    <row r="6" spans="1:11" ht="16.8">
      <c r="A6" s="67" t="s">
        <v>173</v>
      </c>
      <c r="B6" s="68">
        <f>COUNTIF(Invitados!C3:C197,"No")</f>
        <v>2</v>
      </c>
      <c r="C6" s="60"/>
      <c r="D6" s="59"/>
      <c r="E6" s="59"/>
      <c r="F6" s="59"/>
      <c r="G6" s="59"/>
      <c r="H6" s="59"/>
      <c r="I6" s="59"/>
      <c r="J6" s="59"/>
      <c r="K6" s="59"/>
    </row>
    <row r="7" spans="1:11" ht="16.8">
      <c r="A7" s="90" t="s">
        <v>174</v>
      </c>
      <c r="B7" s="90">
        <f>COUNTIF(Invitados!C3:C197,"No viene")</f>
        <v>1</v>
      </c>
      <c r="C7" s="66"/>
      <c r="D7" s="59"/>
      <c r="E7" s="59"/>
      <c r="F7" s="59"/>
      <c r="G7" s="59"/>
      <c r="H7" s="59"/>
      <c r="I7" s="59"/>
      <c r="J7" s="59"/>
      <c r="K7" s="59"/>
    </row>
    <row r="8" spans="1:11" ht="16.8">
      <c r="A8" s="60" t="s">
        <v>175</v>
      </c>
      <c r="B8" s="60">
        <f>COUNTIF(Invitados!D3:D197,"Familia")</f>
        <v>3</v>
      </c>
      <c r="C8" s="60"/>
      <c r="D8" s="59"/>
      <c r="E8" s="59"/>
      <c r="F8" s="59"/>
      <c r="G8" s="59"/>
      <c r="H8" s="59"/>
      <c r="I8" s="59"/>
      <c r="J8" s="59"/>
      <c r="K8" s="59"/>
    </row>
    <row r="9" spans="1:11" ht="16.8">
      <c r="A9" s="66" t="s">
        <v>176</v>
      </c>
      <c r="B9" s="66">
        <f>COUNTIF(Invitados!D3:D197,"Amigos")</f>
        <v>1</v>
      </c>
      <c r="C9" s="66"/>
      <c r="D9" s="59"/>
      <c r="E9" s="59"/>
      <c r="F9" s="59"/>
      <c r="G9" s="59"/>
      <c r="H9" s="59"/>
      <c r="I9" s="59"/>
      <c r="J9" s="59"/>
      <c r="K9" s="59"/>
    </row>
    <row r="10" spans="1:11" ht="16.8">
      <c r="A10" s="60" t="s">
        <v>177</v>
      </c>
      <c r="B10" s="60">
        <f>COUNTIF(Invitados!D3:D197,"Trabajo")</f>
        <v>1</v>
      </c>
      <c r="C10" s="60"/>
      <c r="D10" s="59"/>
      <c r="E10" s="59"/>
      <c r="F10" s="59"/>
      <c r="G10" s="59"/>
      <c r="H10" s="59"/>
      <c r="I10" s="59"/>
      <c r="J10" s="59"/>
      <c r="K10" s="59"/>
    </row>
    <row r="11" spans="1:11" ht="16.8">
      <c r="A11" s="66" t="s">
        <v>178</v>
      </c>
      <c r="B11" s="66">
        <f>COUNTIF(Invitados!D3:D197,"Estudios")</f>
        <v>0</v>
      </c>
      <c r="C11" s="66"/>
      <c r="D11" s="59"/>
      <c r="E11" s="59"/>
      <c r="F11" s="59"/>
      <c r="G11" s="59"/>
      <c r="H11" s="59"/>
      <c r="I11" s="59"/>
      <c r="J11" s="59"/>
      <c r="K11" s="59"/>
    </row>
    <row r="12" spans="1:11" ht="16.8">
      <c r="A12" s="60" t="s">
        <v>179</v>
      </c>
      <c r="B12" s="60">
        <f>COUNTIF(Invitados!D3:D197,"Otra")</f>
        <v>0</v>
      </c>
      <c r="C12" s="60"/>
      <c r="D12" s="59"/>
      <c r="E12" s="59"/>
      <c r="F12" s="59"/>
      <c r="G12" s="59"/>
      <c r="H12" s="59"/>
      <c r="I12" s="59"/>
      <c r="J12" s="59"/>
      <c r="K12" s="59"/>
    </row>
    <row r="13" spans="1:11" ht="4.2" customHeight="1">
      <c r="A13" s="137"/>
      <c r="B13" s="138"/>
      <c r="C13" s="123"/>
      <c r="D13" s="59"/>
      <c r="E13" s="59"/>
      <c r="F13" s="59"/>
      <c r="G13" s="59"/>
      <c r="H13" s="59"/>
      <c r="I13" s="59"/>
      <c r="J13" s="59"/>
      <c r="K13" s="59"/>
    </row>
    <row r="14" spans="1:11" ht="16.8">
      <c r="A14" s="60" t="s">
        <v>180</v>
      </c>
      <c r="B14" s="60">
        <f>COUNTIF(Invitados!H3:H197,"Celiac@")</f>
        <v>1</v>
      </c>
      <c r="C14" s="60"/>
      <c r="D14" s="59"/>
      <c r="E14" s="59"/>
      <c r="F14" s="59"/>
      <c r="G14" s="59"/>
      <c r="H14" s="59"/>
      <c r="I14" s="59"/>
      <c r="J14" s="59"/>
      <c r="K14" s="59"/>
    </row>
    <row r="15" spans="1:11" ht="16.8">
      <c r="A15" s="69" t="s">
        <v>181</v>
      </c>
      <c r="B15" s="69">
        <f>COUNTIF(Invitados!H3:H197,"Vegan@")</f>
        <v>0</v>
      </c>
      <c r="C15" s="69"/>
      <c r="D15" s="59"/>
      <c r="E15" s="59"/>
      <c r="F15" s="59"/>
      <c r="G15" s="59"/>
      <c r="H15" s="59"/>
      <c r="I15" s="59"/>
      <c r="J15" s="59"/>
      <c r="K15" s="59"/>
    </row>
    <row r="16" spans="1:11" ht="16.8">
      <c r="A16" s="72" t="s">
        <v>182</v>
      </c>
      <c r="B16" s="70">
        <f>COUNTIF(Invitados!H3:H197,"Vegetarian@")</f>
        <v>1</v>
      </c>
      <c r="C16" s="70"/>
      <c r="D16" s="59"/>
      <c r="E16" s="59"/>
      <c r="F16" s="59"/>
      <c r="G16" s="59"/>
      <c r="H16" s="59"/>
      <c r="I16" s="59"/>
      <c r="J16" s="59"/>
      <c r="K16" s="59"/>
    </row>
    <row r="17" spans="1:11" ht="16.8">
      <c r="A17" s="69" t="s">
        <v>183</v>
      </c>
      <c r="B17" s="69">
        <f>COUNTIF(Invitados!H3:H197,"Intolerante a la lactosa")</f>
        <v>0</v>
      </c>
      <c r="C17" s="69"/>
      <c r="D17" s="59"/>
      <c r="E17" s="59"/>
      <c r="F17" s="59"/>
      <c r="G17" s="59"/>
      <c r="H17" s="59"/>
      <c r="I17" s="59"/>
      <c r="J17" s="59"/>
      <c r="K17" s="59"/>
    </row>
    <row r="18" spans="1:11" ht="16.8">
      <c r="A18" s="70" t="s">
        <v>184</v>
      </c>
      <c r="B18" s="70">
        <f>COUNTIF(Invitados!H3:H197,"Intolerante al huevo")</f>
        <v>0</v>
      </c>
      <c r="C18" s="70"/>
      <c r="D18" s="59"/>
      <c r="E18" s="59"/>
      <c r="F18" s="59"/>
      <c r="G18" s="59"/>
      <c r="H18" s="59"/>
      <c r="I18" s="59"/>
      <c r="J18" s="59"/>
      <c r="K18" s="59"/>
    </row>
    <row r="19" spans="1:11" ht="16.8">
      <c r="A19" s="69" t="s">
        <v>185</v>
      </c>
      <c r="B19" s="69">
        <f>COUNTIF(Invitados!H3:H197,"Intolerante a los frutos secos")</f>
        <v>0</v>
      </c>
      <c r="C19" s="69"/>
      <c r="D19" s="59"/>
      <c r="E19" s="59"/>
      <c r="F19" s="59"/>
      <c r="G19" s="59"/>
      <c r="H19" s="59"/>
      <c r="I19" s="59"/>
      <c r="J19" s="59"/>
      <c r="K19" s="59"/>
    </row>
    <row r="20" spans="1:11" ht="4.2" customHeight="1">
      <c r="A20" s="137"/>
      <c r="B20" s="138"/>
      <c r="C20" s="123"/>
      <c r="D20" s="59"/>
      <c r="E20" s="59"/>
      <c r="F20" s="59"/>
      <c r="G20" s="59"/>
      <c r="H20" s="59"/>
      <c r="I20" s="59"/>
      <c r="J20" s="59"/>
      <c r="K20" s="59"/>
    </row>
    <row r="21" spans="1:11" ht="15.75" customHeight="1">
      <c r="A21" s="60" t="s">
        <v>186</v>
      </c>
      <c r="B21" s="60">
        <f>COUNTIF(Invitados!I3:I197,"Sí")</f>
        <v>1</v>
      </c>
      <c r="C21" s="60"/>
      <c r="D21" s="59"/>
      <c r="E21" s="59"/>
      <c r="F21" s="59"/>
      <c r="G21" s="59"/>
      <c r="H21" s="59"/>
      <c r="I21" s="59"/>
      <c r="J21" s="59"/>
      <c r="K21" s="59"/>
    </row>
    <row r="22" spans="1:11" ht="16.8" customHeight="1">
      <c r="A22" s="66" t="s">
        <v>187</v>
      </c>
      <c r="B22" s="66">
        <f>COUNTIF(Invitados!I3:I197,"Sí")</f>
        <v>1</v>
      </c>
      <c r="C22" s="66"/>
      <c r="D22" s="59"/>
      <c r="E22" s="59"/>
      <c r="F22" s="59"/>
      <c r="G22" s="59"/>
      <c r="H22" s="59"/>
      <c r="I22" s="59"/>
      <c r="J22" s="59"/>
      <c r="K22" s="59"/>
    </row>
    <row r="23" spans="1:11" ht="4.2" customHeight="1">
      <c r="A23" s="137"/>
      <c r="B23" s="138"/>
      <c r="C23" s="123"/>
      <c r="D23" s="59"/>
      <c r="E23" s="59"/>
      <c r="F23" s="59"/>
      <c r="G23" s="59"/>
      <c r="H23" s="59"/>
      <c r="I23" s="59"/>
      <c r="J23" s="59"/>
      <c r="K23" s="59"/>
    </row>
    <row r="24" spans="1:11" ht="15.75" customHeight="1">
      <c r="A24" s="71" t="s">
        <v>188</v>
      </c>
      <c r="B24" s="72">
        <f>COUNTIF(Invitados!G3:G197,"Mesa Nupcial")</f>
        <v>1</v>
      </c>
      <c r="C24" s="72"/>
      <c r="D24" s="59"/>
      <c r="E24" s="59"/>
      <c r="F24" s="59"/>
      <c r="G24" s="59"/>
      <c r="H24" s="59"/>
      <c r="I24" s="59"/>
      <c r="J24" s="59"/>
      <c r="K24" s="59"/>
    </row>
    <row r="25" spans="1:11" ht="15.75" customHeight="1">
      <c r="A25" s="72" t="s">
        <v>189</v>
      </c>
      <c r="B25" s="72">
        <f>COUNTIF(Invitados!G3:G198,"Mesa 1")</f>
        <v>1</v>
      </c>
      <c r="C25" s="72"/>
      <c r="D25" s="59"/>
      <c r="E25" s="59"/>
      <c r="F25" s="59"/>
      <c r="G25" s="59"/>
      <c r="H25" s="59"/>
      <c r="I25" s="59"/>
      <c r="J25" s="59"/>
      <c r="K25" s="59"/>
    </row>
    <row r="26" spans="1:11" ht="15.75" customHeight="1">
      <c r="A26" s="72" t="s">
        <v>190</v>
      </c>
      <c r="B26" s="72">
        <f>COUNTIF(Invitados!G3:G198,"Mesa 2")</f>
        <v>1</v>
      </c>
      <c r="C26" s="72"/>
      <c r="D26" s="59"/>
      <c r="E26" s="59"/>
      <c r="F26" s="59"/>
      <c r="G26" s="59"/>
      <c r="H26" s="59"/>
      <c r="I26" s="59"/>
      <c r="J26" s="59"/>
      <c r="K26" s="59"/>
    </row>
    <row r="27" spans="1:11" ht="15.75" customHeight="1">
      <c r="A27" s="72" t="s">
        <v>191</v>
      </c>
      <c r="B27" s="72">
        <f>COUNTIF(Invitados!G3:G198,"Mesa 3")</f>
        <v>0</v>
      </c>
      <c r="C27" s="72"/>
      <c r="D27" s="59"/>
      <c r="E27" s="59"/>
      <c r="F27" s="59"/>
      <c r="G27" s="59"/>
      <c r="H27" s="59"/>
      <c r="I27" s="59"/>
      <c r="J27" s="59"/>
      <c r="K27" s="59"/>
    </row>
    <row r="28" spans="1:11" ht="16.8">
      <c r="A28" s="69" t="s">
        <v>192</v>
      </c>
      <c r="B28" s="69">
        <f>COUNTIF(Invitados!G3:G198,"Mesa 4")</f>
        <v>0</v>
      </c>
      <c r="C28" s="69"/>
      <c r="D28" s="59"/>
      <c r="E28" s="59"/>
      <c r="F28" s="59"/>
      <c r="G28" s="59"/>
      <c r="H28" s="59"/>
      <c r="I28" s="59"/>
      <c r="J28" s="59"/>
      <c r="K28" s="59"/>
    </row>
    <row r="29" spans="1:11" ht="7.2" customHeight="1">
      <c r="A29" s="137"/>
      <c r="B29" s="138"/>
      <c r="C29" s="123"/>
      <c r="D29" s="59"/>
      <c r="E29" s="59"/>
      <c r="F29" s="59"/>
      <c r="G29" s="59"/>
      <c r="H29" s="59"/>
      <c r="I29" s="59"/>
      <c r="J29" s="59"/>
      <c r="K29" s="59"/>
    </row>
    <row r="30" spans="1:11" ht="15.75" customHeight="1">
      <c r="A30" s="72"/>
      <c r="B30" s="72"/>
      <c r="C30" s="72"/>
      <c r="D30" s="59"/>
      <c r="E30" s="59"/>
      <c r="F30" s="59"/>
      <c r="G30" s="59"/>
      <c r="H30" s="59"/>
      <c r="I30" s="59"/>
      <c r="J30" s="59"/>
      <c r="K30" s="59"/>
    </row>
    <row r="31" spans="1:11" ht="15.75" customHeight="1">
      <c r="A31" s="72"/>
      <c r="B31" s="72"/>
      <c r="C31" s="72"/>
      <c r="D31" s="59"/>
      <c r="E31" s="59"/>
      <c r="F31" s="59"/>
      <c r="G31" s="59"/>
      <c r="H31" s="59"/>
      <c r="I31" s="59"/>
      <c r="J31" s="59"/>
      <c r="K31" s="59"/>
    </row>
    <row r="32" spans="1:11" ht="15.75" customHeight="1">
      <c r="A32" s="72"/>
      <c r="B32" s="72"/>
      <c r="C32" s="72"/>
      <c r="D32" s="59"/>
      <c r="E32" s="59"/>
      <c r="F32" s="59"/>
      <c r="G32" s="59"/>
      <c r="H32" s="59"/>
      <c r="I32" s="59"/>
      <c r="J32" s="59"/>
      <c r="K32" s="59"/>
    </row>
    <row r="33" spans="1:11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</row>
    <row r="34" spans="1:11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</row>
    <row r="35" spans="1:11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</row>
    <row r="36" spans="1:11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</row>
    <row r="37" spans="1:11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</row>
    <row r="38" spans="1:11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</row>
    <row r="39" spans="1:11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</row>
    <row r="40" spans="1:11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</row>
    <row r="41" spans="1:1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</row>
    <row r="42" spans="1:11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</row>
    <row r="43" spans="1:11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</row>
    <row r="44" spans="1:11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</row>
    <row r="45" spans="1:11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</row>
    <row r="46" spans="1:11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</row>
    <row r="47" spans="1:11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</row>
    <row r="48" spans="1:11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 spans="1:11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</row>
    <row r="50" spans="1:11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 spans="1:1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</row>
    <row r="52" spans="1:11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 spans="1:11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</row>
    <row r="54" spans="1:11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</row>
    <row r="55" spans="1:11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</row>
    <row r="56" spans="1:11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</row>
    <row r="57" spans="1:11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 spans="1:11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</row>
    <row r="59" spans="1:11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</row>
    <row r="60" spans="1:11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</row>
    <row r="61" spans="1:1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 spans="1:11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</row>
    <row r="63" spans="1:11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</row>
    <row r="64" spans="1:11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</row>
    <row r="65" spans="1:11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</row>
    <row r="66" spans="1:11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</row>
    <row r="68" spans="1:11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</row>
    <row r="71" spans="1:1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</row>
    <row r="72" spans="1:11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</row>
    <row r="73" spans="1:11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</row>
    <row r="74" spans="1:11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</row>
    <row r="75" spans="1:11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</row>
    <row r="76" spans="1:11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</row>
    <row r="77" spans="1:11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</row>
    <row r="78" spans="1:11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</row>
    <row r="79" spans="1:11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</row>
    <row r="80" spans="1:11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</row>
    <row r="81" spans="1:1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</row>
    <row r="82" spans="1:11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</row>
    <row r="83" spans="1:11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</row>
    <row r="84" spans="1:11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</row>
  </sheetData>
  <mergeCells count="5">
    <mergeCell ref="A20:C20"/>
    <mergeCell ref="A1:B1"/>
    <mergeCell ref="A13:C13"/>
    <mergeCell ref="A23:C23"/>
    <mergeCell ref="A29:C29"/>
  </mergeCells>
  <conditionalFormatting sqref="A24">
    <cfRule type="cellIs" dxfId="21" priority="1" operator="equal">
      <formula>"Mesa Nupcial"</formula>
    </cfRule>
  </conditionalFormatting>
  <conditionalFormatting sqref="A24">
    <cfRule type="cellIs" dxfId="20" priority="2" operator="equal">
      <formula>"Sin asignar"</formula>
    </cfRule>
  </conditionalFormatting>
  <conditionalFormatting sqref="A24">
    <cfRule type="cellIs" dxfId="19" priority="3" operator="equal">
      <formula>"Mesa Nupcial"</formula>
    </cfRule>
  </conditionalFormatting>
  <hyperlinks>
    <hyperlink ref="A14" r:id="rId1"/>
    <hyperlink ref="A15" r:id="rId2"/>
    <hyperlink ref="A16" r:id="rId3"/>
  </hyperlinks>
  <pageMargins left="0.7" right="0.7" top="0.75" bottom="0.75" header="0" footer="0"/>
  <pageSetup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  <outlinePr summaryBelow="0" summaryRight="0"/>
  </sheetPr>
  <dimension ref="A1:AG198"/>
  <sheetViews>
    <sheetView showGridLines="0" workbookViewId="0">
      <pane ySplit="3" topLeftCell="A10" activePane="bottomLeft" state="frozen"/>
      <selection pane="bottomLeft" activeCell="B3" sqref="B3"/>
    </sheetView>
  </sheetViews>
  <sheetFormatPr baseColWidth="10" defaultColWidth="14.44140625" defaultRowHeight="15" customHeight="1"/>
  <cols>
    <col min="1" max="1" width="41.6640625" bestFit="1" customWidth="1"/>
    <col min="2" max="2" width="13.21875" bestFit="1" customWidth="1"/>
    <col min="3" max="3" width="15.6640625" bestFit="1" customWidth="1"/>
    <col min="4" max="4" width="11.109375" bestFit="1" customWidth="1"/>
    <col min="5" max="5" width="13.5546875" bestFit="1" customWidth="1"/>
    <col min="6" max="6" width="21.44140625" bestFit="1" customWidth="1"/>
    <col min="7" max="7" width="14.109375" bestFit="1" customWidth="1"/>
    <col min="8" max="8" width="34.88671875" bestFit="1" customWidth="1"/>
    <col min="9" max="9" width="14.5546875" bestFit="1" customWidth="1"/>
    <col min="10" max="10" width="15.33203125" bestFit="1" customWidth="1"/>
    <col min="11" max="11" width="18.21875" bestFit="1" customWidth="1"/>
    <col min="12" max="12" width="16" bestFit="1" customWidth="1"/>
    <col min="13" max="13" width="36.109375" bestFit="1" customWidth="1"/>
    <col min="14" max="33" width="12.5546875" customWidth="1"/>
  </cols>
  <sheetData>
    <row r="1" spans="1:33" ht="18" customHeight="1">
      <c r="A1" s="140" t="s">
        <v>225</v>
      </c>
      <c r="B1" s="144">
        <f>COUNTA(Invitados!A$4:A$195)</f>
        <v>5</v>
      </c>
      <c r="C1" s="101">
        <f>COUNTIF(C3:C195,"Sí")</f>
        <v>2</v>
      </c>
      <c r="D1" s="146"/>
      <c r="E1" s="146"/>
      <c r="F1" s="97"/>
      <c r="G1" s="146"/>
      <c r="H1" s="146"/>
      <c r="I1" s="142">
        <f>COUNTIF(I3:I195,"Sí")</f>
        <v>1</v>
      </c>
      <c r="J1" s="100"/>
      <c r="K1" s="142">
        <f>COUNTIF(K3:K195,"Sí")</f>
        <v>1</v>
      </c>
      <c r="L1" s="100"/>
      <c r="M1" s="100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33" ht="18" customHeight="1">
      <c r="A2" s="141"/>
      <c r="B2" s="145"/>
      <c r="C2" s="102">
        <f>COUNTIF(C3:C195,"No")</f>
        <v>2</v>
      </c>
      <c r="D2" s="147"/>
      <c r="E2" s="147"/>
      <c r="F2" s="97"/>
      <c r="G2" s="147"/>
      <c r="H2" s="148"/>
      <c r="I2" s="143"/>
      <c r="J2" s="100"/>
      <c r="K2" s="143"/>
      <c r="L2" s="100"/>
      <c r="M2" s="100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</row>
    <row r="3" spans="1:33" ht="29.25" customHeight="1">
      <c r="A3" s="99" t="s">
        <v>193</v>
      </c>
      <c r="B3" s="99" t="s">
        <v>227</v>
      </c>
      <c r="C3" s="98" t="s">
        <v>194</v>
      </c>
      <c r="D3" s="99" t="s">
        <v>195</v>
      </c>
      <c r="E3" s="99" t="s">
        <v>196</v>
      </c>
      <c r="F3" s="99" t="s">
        <v>197</v>
      </c>
      <c r="G3" s="99" t="s">
        <v>198</v>
      </c>
      <c r="H3" s="99" t="s">
        <v>199</v>
      </c>
      <c r="I3" s="99" t="s">
        <v>200</v>
      </c>
      <c r="J3" s="99" t="s">
        <v>201</v>
      </c>
      <c r="K3" s="99" t="s">
        <v>202</v>
      </c>
      <c r="L3" s="99" t="s">
        <v>203</v>
      </c>
      <c r="M3" s="99" t="s">
        <v>204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</row>
    <row r="4" spans="1:33" ht="15.75" customHeight="1">
      <c r="A4" s="43" t="s">
        <v>162</v>
      </c>
      <c r="B4" s="75">
        <v>9156323215</v>
      </c>
      <c r="C4" s="21" t="s">
        <v>13</v>
      </c>
      <c r="D4" s="21" t="s">
        <v>175</v>
      </c>
      <c r="E4" s="21" t="s">
        <v>205</v>
      </c>
      <c r="F4" s="21" t="s">
        <v>13</v>
      </c>
      <c r="G4" s="21" t="s">
        <v>188</v>
      </c>
      <c r="H4" s="76" t="s">
        <v>206</v>
      </c>
      <c r="I4" s="21" t="s">
        <v>13</v>
      </c>
      <c r="J4" s="77"/>
      <c r="K4" s="21" t="s">
        <v>13</v>
      </c>
      <c r="L4" s="77"/>
      <c r="M4" s="76" t="s">
        <v>207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5.75" customHeight="1">
      <c r="A5" s="22" t="s">
        <v>218</v>
      </c>
      <c r="B5" s="78">
        <v>9156322025</v>
      </c>
      <c r="C5" s="21" t="s">
        <v>29</v>
      </c>
      <c r="D5" s="22" t="s">
        <v>175</v>
      </c>
      <c r="E5" s="22" t="s">
        <v>208</v>
      </c>
      <c r="F5" s="21"/>
      <c r="G5" s="21" t="s">
        <v>189</v>
      </c>
      <c r="H5" s="57" t="s">
        <v>209</v>
      </c>
      <c r="I5" s="21" t="s">
        <v>29</v>
      </c>
      <c r="J5" s="79"/>
      <c r="K5" s="21" t="s">
        <v>29</v>
      </c>
      <c r="L5" s="79"/>
      <c r="M5" s="5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5.6" customHeight="1">
      <c r="A6" s="26" t="s">
        <v>219</v>
      </c>
      <c r="B6" s="80">
        <v>5202356</v>
      </c>
      <c r="C6" s="21" t="s">
        <v>29</v>
      </c>
      <c r="D6" s="22" t="s">
        <v>175</v>
      </c>
      <c r="E6" s="57" t="s">
        <v>205</v>
      </c>
      <c r="F6" s="21"/>
      <c r="G6" s="21" t="s">
        <v>190</v>
      </c>
      <c r="H6" s="57"/>
      <c r="I6" s="21" t="s">
        <v>29</v>
      </c>
      <c r="J6" s="79"/>
      <c r="K6" s="21"/>
      <c r="L6" s="79"/>
      <c r="M6" s="5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5.75" customHeight="1">
      <c r="A7" s="26" t="s">
        <v>220</v>
      </c>
      <c r="B7" s="80">
        <v>36523054</v>
      </c>
      <c r="C7" s="21" t="s">
        <v>210</v>
      </c>
      <c r="D7" s="22" t="s">
        <v>177</v>
      </c>
      <c r="E7" s="57" t="s">
        <v>205</v>
      </c>
      <c r="F7" s="21"/>
      <c r="G7" s="21" t="s">
        <v>211</v>
      </c>
      <c r="H7" s="57"/>
      <c r="I7" s="21"/>
      <c r="J7" s="79"/>
      <c r="K7" s="21"/>
      <c r="L7" s="79"/>
      <c r="M7" s="5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>
      <c r="A8" s="26" t="s">
        <v>221</v>
      </c>
      <c r="B8" s="80">
        <v>6555896</v>
      </c>
      <c r="C8" s="21" t="s">
        <v>13</v>
      </c>
      <c r="D8" s="22" t="s">
        <v>176</v>
      </c>
      <c r="E8" s="57" t="s">
        <v>205</v>
      </c>
      <c r="F8" s="21"/>
      <c r="G8" s="21"/>
      <c r="H8" s="57"/>
      <c r="I8" s="21"/>
      <c r="J8" s="79"/>
      <c r="K8" s="21"/>
      <c r="L8" s="79"/>
      <c r="M8" s="5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A9" s="57"/>
      <c r="B9" s="80"/>
      <c r="C9" s="21"/>
      <c r="D9" s="22"/>
      <c r="E9" s="57"/>
      <c r="F9" s="21"/>
      <c r="G9" s="21"/>
      <c r="H9" s="57"/>
      <c r="I9" s="21"/>
      <c r="J9" s="79"/>
      <c r="K9" s="21"/>
      <c r="L9" s="79"/>
      <c r="M9" s="5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75" customHeight="1">
      <c r="A10" s="81"/>
      <c r="B10" s="82"/>
      <c r="C10" s="21"/>
      <c r="D10" s="22"/>
      <c r="E10" s="57"/>
      <c r="F10" s="21"/>
      <c r="G10" s="21"/>
      <c r="H10" s="57"/>
      <c r="I10" s="21"/>
      <c r="J10" s="79"/>
      <c r="K10" s="21"/>
      <c r="L10" s="79"/>
      <c r="M10" s="5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75" customHeight="1">
      <c r="A11" s="57"/>
      <c r="B11" s="80"/>
      <c r="C11" s="21"/>
      <c r="D11" s="22"/>
      <c r="E11" s="57"/>
      <c r="F11" s="21"/>
      <c r="G11" s="21"/>
      <c r="H11" s="57"/>
      <c r="I11" s="21"/>
      <c r="J11" s="79"/>
      <c r="K11" s="21"/>
      <c r="L11" s="79"/>
      <c r="M11" s="5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75" customHeight="1">
      <c r="A12" s="57"/>
      <c r="B12" s="80"/>
      <c r="C12" s="21"/>
      <c r="D12" s="22"/>
      <c r="E12" s="57"/>
      <c r="F12" s="21"/>
      <c r="G12" s="21"/>
      <c r="H12" s="57"/>
      <c r="I12" s="21"/>
      <c r="J12" s="79"/>
      <c r="K12" s="21"/>
      <c r="L12" s="79"/>
      <c r="M12" s="5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75" customHeight="1">
      <c r="A13" s="57"/>
      <c r="B13" s="80"/>
      <c r="C13" s="21"/>
      <c r="D13" s="22"/>
      <c r="E13" s="57"/>
      <c r="F13" s="21"/>
      <c r="G13" s="21"/>
      <c r="H13" s="57"/>
      <c r="I13" s="21"/>
      <c r="J13" s="79"/>
      <c r="K13" s="21"/>
      <c r="L13" s="79"/>
      <c r="M13" s="5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75" customHeight="1">
      <c r="A14" s="57"/>
      <c r="B14" s="80"/>
      <c r="C14" s="21"/>
      <c r="D14" s="22"/>
      <c r="E14" s="57"/>
      <c r="F14" s="21"/>
      <c r="G14" s="21"/>
      <c r="H14" s="57"/>
      <c r="I14" s="21"/>
      <c r="J14" s="79"/>
      <c r="K14" s="21"/>
      <c r="L14" s="79"/>
      <c r="M14" s="5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75" customHeight="1">
      <c r="A15" s="57"/>
      <c r="B15" s="80"/>
      <c r="C15" s="21"/>
      <c r="D15" s="22"/>
      <c r="E15" s="57"/>
      <c r="F15" s="21"/>
      <c r="G15" s="21" t="s">
        <v>211</v>
      </c>
      <c r="H15" s="57"/>
      <c r="I15" s="21"/>
      <c r="J15" s="79"/>
      <c r="K15" s="21"/>
      <c r="L15" s="79"/>
      <c r="M15" s="5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75" customHeight="1">
      <c r="A16" s="57"/>
      <c r="B16" s="80"/>
      <c r="C16" s="21"/>
      <c r="D16" s="22"/>
      <c r="E16" s="57"/>
      <c r="F16" s="21"/>
      <c r="G16" s="21"/>
      <c r="H16" s="57"/>
      <c r="I16" s="21"/>
      <c r="J16" s="79"/>
      <c r="K16" s="21"/>
      <c r="L16" s="79"/>
      <c r="M16" s="5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75" customHeight="1">
      <c r="A17" s="57"/>
      <c r="B17" s="80"/>
      <c r="C17" s="21"/>
      <c r="D17" s="22"/>
      <c r="E17" s="57"/>
      <c r="F17" s="21"/>
      <c r="G17" s="21"/>
      <c r="H17" s="57"/>
      <c r="I17" s="21"/>
      <c r="J17" s="79"/>
      <c r="K17" s="21"/>
      <c r="L17" s="79"/>
      <c r="M17" s="5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75" customHeight="1">
      <c r="A18" s="57"/>
      <c r="B18" s="80"/>
      <c r="C18" s="21"/>
      <c r="D18" s="22"/>
      <c r="E18" s="57"/>
      <c r="F18" s="21"/>
      <c r="G18" s="21"/>
      <c r="H18" s="57"/>
      <c r="I18" s="21"/>
      <c r="J18" s="79"/>
      <c r="K18" s="21"/>
      <c r="L18" s="79"/>
      <c r="M18" s="5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75" customHeight="1">
      <c r="A19" s="57"/>
      <c r="B19" s="80"/>
      <c r="C19" s="21"/>
      <c r="D19" s="22"/>
      <c r="E19" s="57"/>
      <c r="F19" s="21"/>
      <c r="G19" s="21"/>
      <c r="H19" s="57"/>
      <c r="I19" s="21"/>
      <c r="J19" s="79"/>
      <c r="K19" s="21"/>
      <c r="L19" s="79"/>
      <c r="M19" s="5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75" customHeight="1">
      <c r="A20" s="57"/>
      <c r="B20" s="80"/>
      <c r="C20" s="21"/>
      <c r="D20" s="22"/>
      <c r="E20" s="57"/>
      <c r="F20" s="21"/>
      <c r="G20" s="21"/>
      <c r="H20" s="57"/>
      <c r="I20" s="21"/>
      <c r="J20" s="79"/>
      <c r="K20" s="21"/>
      <c r="L20" s="79"/>
      <c r="M20" s="5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>
      <c r="A21" s="57"/>
      <c r="B21" s="80"/>
      <c r="C21" s="21"/>
      <c r="D21" s="22"/>
      <c r="E21" s="57"/>
      <c r="F21" s="21"/>
      <c r="G21" s="21" t="s">
        <v>211</v>
      </c>
      <c r="H21" s="57"/>
      <c r="I21" s="21"/>
      <c r="J21" s="79"/>
      <c r="K21" s="21"/>
      <c r="L21" s="79"/>
      <c r="M21" s="5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>
      <c r="A22" s="57"/>
      <c r="B22" s="80"/>
      <c r="C22" s="21"/>
      <c r="D22" s="22"/>
      <c r="E22" s="57"/>
      <c r="F22" s="21"/>
      <c r="G22" s="21"/>
      <c r="H22" s="57"/>
      <c r="I22" s="21"/>
      <c r="J22" s="79"/>
      <c r="K22" s="21"/>
      <c r="L22" s="79"/>
      <c r="M22" s="5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>
      <c r="A23" s="57"/>
      <c r="B23" s="80"/>
      <c r="C23" s="21"/>
      <c r="D23" s="22"/>
      <c r="E23" s="57"/>
      <c r="F23" s="21"/>
      <c r="G23" s="21"/>
      <c r="H23" s="57"/>
      <c r="I23" s="21"/>
      <c r="J23" s="79"/>
      <c r="K23" s="21"/>
      <c r="L23" s="79"/>
      <c r="M23" s="5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>
      <c r="A24" s="57"/>
      <c r="B24" s="80"/>
      <c r="C24" s="21"/>
      <c r="D24" s="22"/>
      <c r="E24" s="57"/>
      <c r="F24" s="21"/>
      <c r="G24" s="21"/>
      <c r="H24" s="57"/>
      <c r="I24" s="21"/>
      <c r="J24" s="79"/>
      <c r="K24" s="21"/>
      <c r="L24" s="79"/>
      <c r="M24" s="5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>
      <c r="A25" s="57"/>
      <c r="B25" s="80"/>
      <c r="C25" s="21"/>
      <c r="D25" s="22"/>
      <c r="E25" s="57"/>
      <c r="F25" s="21"/>
      <c r="G25" s="21"/>
      <c r="H25" s="57"/>
      <c r="I25" s="21"/>
      <c r="J25" s="79"/>
      <c r="K25" s="21"/>
      <c r="L25" s="79"/>
      <c r="M25" s="5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>
      <c r="A26" s="57"/>
      <c r="B26" s="80"/>
      <c r="C26" s="21"/>
      <c r="D26" s="22"/>
      <c r="E26" s="57"/>
      <c r="F26" s="21"/>
      <c r="G26" s="21"/>
      <c r="H26" s="57"/>
      <c r="I26" s="21"/>
      <c r="J26" s="79"/>
      <c r="K26" s="21"/>
      <c r="L26" s="79"/>
      <c r="M26" s="5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57"/>
      <c r="B27" s="80"/>
      <c r="C27" s="21"/>
      <c r="D27" s="22"/>
      <c r="E27" s="57"/>
      <c r="F27" s="21"/>
      <c r="G27" s="21"/>
      <c r="H27" s="57"/>
      <c r="I27" s="21"/>
      <c r="J27" s="79"/>
      <c r="K27" s="21"/>
      <c r="L27" s="79"/>
      <c r="M27" s="5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57"/>
      <c r="B28" s="80"/>
      <c r="C28" s="21"/>
      <c r="D28" s="22"/>
      <c r="E28" s="57"/>
      <c r="F28" s="21"/>
      <c r="G28" s="21"/>
      <c r="H28" s="57"/>
      <c r="I28" s="21"/>
      <c r="J28" s="79"/>
      <c r="K28" s="21"/>
      <c r="L28" s="79"/>
      <c r="M28" s="5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57"/>
      <c r="B29" s="80"/>
      <c r="C29" s="21"/>
      <c r="D29" s="22"/>
      <c r="E29" s="57"/>
      <c r="F29" s="21"/>
      <c r="G29" s="21"/>
      <c r="H29" s="57"/>
      <c r="I29" s="21"/>
      <c r="J29" s="79"/>
      <c r="K29" s="21"/>
      <c r="L29" s="79"/>
      <c r="M29" s="5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.75" customHeight="1">
      <c r="A30" s="57"/>
      <c r="B30" s="80"/>
      <c r="C30" s="21"/>
      <c r="D30" s="22"/>
      <c r="E30" s="57"/>
      <c r="F30" s="21"/>
      <c r="G30" s="21"/>
      <c r="H30" s="57"/>
      <c r="I30" s="21"/>
      <c r="J30" s="79"/>
      <c r="K30" s="21"/>
      <c r="L30" s="79"/>
      <c r="M30" s="5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5.75" customHeight="1">
      <c r="A31" s="57"/>
      <c r="B31" s="80"/>
      <c r="C31" s="21"/>
      <c r="D31" s="22"/>
      <c r="E31" s="57"/>
      <c r="F31" s="21"/>
      <c r="G31" s="21"/>
      <c r="H31" s="57"/>
      <c r="I31" s="21"/>
      <c r="J31" s="79"/>
      <c r="K31" s="21"/>
      <c r="L31" s="79"/>
      <c r="M31" s="5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5.75" customHeight="1">
      <c r="A32" s="57"/>
      <c r="B32" s="80"/>
      <c r="C32" s="21"/>
      <c r="D32" s="22"/>
      <c r="E32" s="57"/>
      <c r="F32" s="21"/>
      <c r="G32" s="21"/>
      <c r="H32" s="57"/>
      <c r="I32" s="21"/>
      <c r="J32" s="79"/>
      <c r="K32" s="21"/>
      <c r="L32" s="79"/>
      <c r="M32" s="5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5.75" customHeight="1">
      <c r="A33" s="57"/>
      <c r="B33" s="80"/>
      <c r="C33" s="21"/>
      <c r="D33" s="22"/>
      <c r="E33" s="57"/>
      <c r="F33" s="21"/>
      <c r="G33" s="21"/>
      <c r="H33" s="57"/>
      <c r="I33" s="21"/>
      <c r="J33" s="79"/>
      <c r="K33" s="21"/>
      <c r="L33" s="79"/>
      <c r="M33" s="5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5.75" customHeight="1">
      <c r="A34" s="57"/>
      <c r="B34" s="80"/>
      <c r="C34" s="21"/>
      <c r="D34" s="22"/>
      <c r="E34" s="57"/>
      <c r="F34" s="21"/>
      <c r="G34" s="21"/>
      <c r="H34" s="57"/>
      <c r="I34" s="21"/>
      <c r="J34" s="79"/>
      <c r="K34" s="21"/>
      <c r="L34" s="79"/>
      <c r="M34" s="5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5.75" customHeight="1">
      <c r="A35" s="57"/>
      <c r="B35" s="80"/>
      <c r="C35" s="21"/>
      <c r="D35" s="22"/>
      <c r="E35" s="57"/>
      <c r="F35" s="21"/>
      <c r="G35" s="21"/>
      <c r="H35" s="57"/>
      <c r="I35" s="21"/>
      <c r="J35" s="79"/>
      <c r="K35" s="21"/>
      <c r="L35" s="79"/>
      <c r="M35" s="57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5.75" customHeight="1">
      <c r="A36" s="57"/>
      <c r="B36" s="80"/>
      <c r="C36" s="21"/>
      <c r="D36" s="22"/>
      <c r="E36" s="57"/>
      <c r="F36" s="21"/>
      <c r="G36" s="21"/>
      <c r="H36" s="57"/>
      <c r="I36" s="21"/>
      <c r="J36" s="79"/>
      <c r="K36" s="21"/>
      <c r="L36" s="79"/>
      <c r="M36" s="5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5.75" customHeight="1">
      <c r="A37" s="57"/>
      <c r="B37" s="80"/>
      <c r="C37" s="21"/>
      <c r="D37" s="22"/>
      <c r="E37" s="57"/>
      <c r="F37" s="21"/>
      <c r="G37" s="21"/>
      <c r="H37" s="57"/>
      <c r="I37" s="21"/>
      <c r="J37" s="79"/>
      <c r="K37" s="21"/>
      <c r="L37" s="79"/>
      <c r="M37" s="5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5.75" customHeight="1">
      <c r="A38" s="57"/>
      <c r="B38" s="80"/>
      <c r="C38" s="21"/>
      <c r="D38" s="22"/>
      <c r="E38" s="57"/>
      <c r="F38" s="21"/>
      <c r="G38" s="21"/>
      <c r="H38" s="57"/>
      <c r="I38" s="21"/>
      <c r="J38" s="79"/>
      <c r="K38" s="21"/>
      <c r="L38" s="79"/>
      <c r="M38" s="5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5.75" customHeight="1">
      <c r="A39" s="57"/>
      <c r="B39" s="80"/>
      <c r="C39" s="21"/>
      <c r="D39" s="22"/>
      <c r="E39" s="57"/>
      <c r="F39" s="21"/>
      <c r="G39" s="21"/>
      <c r="H39" s="57"/>
      <c r="I39" s="21"/>
      <c r="J39" s="79"/>
      <c r="K39" s="21"/>
      <c r="L39" s="79"/>
      <c r="M39" s="5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5.75" customHeight="1">
      <c r="A40" s="57"/>
      <c r="B40" s="80"/>
      <c r="C40" s="21"/>
      <c r="D40" s="22"/>
      <c r="E40" s="57"/>
      <c r="F40" s="21"/>
      <c r="G40" s="21"/>
      <c r="H40" s="57"/>
      <c r="I40" s="21"/>
      <c r="J40" s="79"/>
      <c r="K40" s="21"/>
      <c r="L40" s="79"/>
      <c r="M40" s="5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5.75" customHeight="1">
      <c r="A41" s="57"/>
      <c r="B41" s="80"/>
      <c r="C41" s="21"/>
      <c r="D41" s="22"/>
      <c r="E41" s="57"/>
      <c r="F41" s="21"/>
      <c r="G41" s="21"/>
      <c r="H41" s="57"/>
      <c r="I41" s="21"/>
      <c r="J41" s="79"/>
      <c r="K41" s="21"/>
      <c r="L41" s="79"/>
      <c r="M41" s="5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5.75" customHeight="1">
      <c r="A42" s="57"/>
      <c r="B42" s="80"/>
      <c r="C42" s="21"/>
      <c r="D42" s="22"/>
      <c r="E42" s="57"/>
      <c r="F42" s="21"/>
      <c r="G42" s="21"/>
      <c r="H42" s="57"/>
      <c r="I42" s="21"/>
      <c r="J42" s="79"/>
      <c r="K42" s="21"/>
      <c r="L42" s="79"/>
      <c r="M42" s="5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5.75" customHeight="1">
      <c r="A43" s="57"/>
      <c r="B43" s="80"/>
      <c r="C43" s="21"/>
      <c r="D43" s="22"/>
      <c r="E43" s="57"/>
      <c r="F43" s="21"/>
      <c r="G43" s="21"/>
      <c r="H43" s="57"/>
      <c r="I43" s="21"/>
      <c r="J43" s="79"/>
      <c r="K43" s="21"/>
      <c r="L43" s="79"/>
      <c r="M43" s="5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5.75" customHeight="1">
      <c r="A44" s="57"/>
      <c r="B44" s="80"/>
      <c r="C44" s="21"/>
      <c r="D44" s="22"/>
      <c r="E44" s="57"/>
      <c r="F44" s="21"/>
      <c r="G44" s="21"/>
      <c r="H44" s="57"/>
      <c r="I44" s="21"/>
      <c r="J44" s="79"/>
      <c r="K44" s="21"/>
      <c r="L44" s="79"/>
      <c r="M44" s="5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5.75" customHeight="1">
      <c r="A45" s="57"/>
      <c r="B45" s="80"/>
      <c r="C45" s="21"/>
      <c r="D45" s="22"/>
      <c r="E45" s="57"/>
      <c r="F45" s="21"/>
      <c r="G45" s="21"/>
      <c r="H45" s="57"/>
      <c r="I45" s="21"/>
      <c r="J45" s="79"/>
      <c r="K45" s="21"/>
      <c r="L45" s="79"/>
      <c r="M45" s="5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5.75" customHeight="1">
      <c r="A46" s="57"/>
      <c r="B46" s="80"/>
      <c r="C46" s="21"/>
      <c r="D46" s="22"/>
      <c r="E46" s="57"/>
      <c r="F46" s="21"/>
      <c r="G46" s="21"/>
      <c r="H46" s="57"/>
      <c r="I46" s="21"/>
      <c r="J46" s="79"/>
      <c r="K46" s="21"/>
      <c r="L46" s="79"/>
      <c r="M46" s="5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5.75" customHeight="1">
      <c r="A47" s="57"/>
      <c r="B47" s="80"/>
      <c r="C47" s="21"/>
      <c r="D47" s="22"/>
      <c r="E47" s="57"/>
      <c r="F47" s="21"/>
      <c r="G47" s="21"/>
      <c r="H47" s="57"/>
      <c r="I47" s="21"/>
      <c r="J47" s="79"/>
      <c r="K47" s="21"/>
      <c r="L47" s="79"/>
      <c r="M47" s="5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5.75" customHeight="1">
      <c r="A48" s="57"/>
      <c r="B48" s="80"/>
      <c r="C48" s="21"/>
      <c r="D48" s="22"/>
      <c r="E48" s="57"/>
      <c r="F48" s="21"/>
      <c r="G48" s="21"/>
      <c r="H48" s="57"/>
      <c r="I48" s="21"/>
      <c r="J48" s="79"/>
      <c r="K48" s="21"/>
      <c r="L48" s="79"/>
      <c r="M48" s="5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5.75" customHeight="1">
      <c r="A49" s="57"/>
      <c r="B49" s="80"/>
      <c r="C49" s="21"/>
      <c r="D49" s="22"/>
      <c r="E49" s="57"/>
      <c r="F49" s="21"/>
      <c r="G49" s="21"/>
      <c r="H49" s="57"/>
      <c r="I49" s="21"/>
      <c r="J49" s="79"/>
      <c r="K49" s="21"/>
      <c r="L49" s="79"/>
      <c r="M49" s="5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5.75" customHeight="1">
      <c r="A50" s="57"/>
      <c r="B50" s="80"/>
      <c r="C50" s="21"/>
      <c r="D50" s="22"/>
      <c r="E50" s="57"/>
      <c r="F50" s="21"/>
      <c r="G50" s="21"/>
      <c r="H50" s="57"/>
      <c r="I50" s="21"/>
      <c r="J50" s="79"/>
      <c r="K50" s="21"/>
      <c r="L50" s="79"/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5.75" customHeight="1">
      <c r="A51" s="57"/>
      <c r="B51" s="80"/>
      <c r="C51" s="21"/>
      <c r="D51" s="22"/>
      <c r="E51" s="57"/>
      <c r="F51" s="21"/>
      <c r="G51" s="21"/>
      <c r="H51" s="57"/>
      <c r="I51" s="21"/>
      <c r="J51" s="79"/>
      <c r="K51" s="21"/>
      <c r="L51" s="79"/>
      <c r="M51" s="57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5.75" customHeight="1">
      <c r="A52" s="57"/>
      <c r="B52" s="80"/>
      <c r="C52" s="21"/>
      <c r="D52" s="22"/>
      <c r="E52" s="57"/>
      <c r="F52" s="21"/>
      <c r="G52" s="21"/>
      <c r="H52" s="57"/>
      <c r="I52" s="21"/>
      <c r="J52" s="79"/>
      <c r="K52" s="21"/>
      <c r="L52" s="79"/>
      <c r="M52" s="5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5.75" customHeight="1">
      <c r="A53" s="57"/>
      <c r="B53" s="80"/>
      <c r="C53" s="21"/>
      <c r="D53" s="22"/>
      <c r="E53" s="57"/>
      <c r="F53" s="21"/>
      <c r="G53" s="21"/>
      <c r="H53" s="57"/>
      <c r="I53" s="21"/>
      <c r="J53" s="79"/>
      <c r="K53" s="21"/>
      <c r="L53" s="79"/>
      <c r="M53" s="5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5.75" customHeight="1">
      <c r="A54" s="57"/>
      <c r="B54" s="80"/>
      <c r="C54" s="21"/>
      <c r="D54" s="22"/>
      <c r="E54" s="57"/>
      <c r="F54" s="21"/>
      <c r="G54" s="21"/>
      <c r="H54" s="57"/>
      <c r="I54" s="21"/>
      <c r="J54" s="79"/>
      <c r="K54" s="21"/>
      <c r="L54" s="79"/>
      <c r="M54" s="5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5.75" customHeight="1">
      <c r="A55" s="57"/>
      <c r="B55" s="80"/>
      <c r="C55" s="21"/>
      <c r="D55" s="22"/>
      <c r="E55" s="57"/>
      <c r="F55" s="21"/>
      <c r="G55" s="21"/>
      <c r="H55" s="57"/>
      <c r="I55" s="21"/>
      <c r="J55" s="79"/>
      <c r="K55" s="21"/>
      <c r="L55" s="79"/>
      <c r="M55" s="57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5.75" customHeight="1">
      <c r="A56" s="57"/>
      <c r="B56" s="80"/>
      <c r="C56" s="21"/>
      <c r="D56" s="22"/>
      <c r="E56" s="57"/>
      <c r="F56" s="21"/>
      <c r="G56" s="21"/>
      <c r="H56" s="57"/>
      <c r="I56" s="21"/>
      <c r="J56" s="79"/>
      <c r="K56" s="21"/>
      <c r="L56" s="79"/>
      <c r="M56" s="5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5.75" customHeight="1">
      <c r="A57" s="57"/>
      <c r="B57" s="80"/>
      <c r="C57" s="21"/>
      <c r="D57" s="22"/>
      <c r="E57" s="57"/>
      <c r="F57" s="21"/>
      <c r="G57" s="21"/>
      <c r="H57" s="57"/>
      <c r="I57" s="21"/>
      <c r="J57" s="79"/>
      <c r="K57" s="21"/>
      <c r="L57" s="79"/>
      <c r="M57" s="5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5.75" customHeight="1">
      <c r="A58" s="57"/>
      <c r="B58" s="80"/>
      <c r="C58" s="21"/>
      <c r="D58" s="22"/>
      <c r="E58" s="57"/>
      <c r="F58" s="21"/>
      <c r="G58" s="21"/>
      <c r="H58" s="57"/>
      <c r="I58" s="21"/>
      <c r="J58" s="79"/>
      <c r="K58" s="21"/>
      <c r="L58" s="79"/>
      <c r="M58" s="5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5.75" customHeight="1">
      <c r="A59" s="57"/>
      <c r="B59" s="80"/>
      <c r="C59" s="21"/>
      <c r="D59" s="22"/>
      <c r="E59" s="57"/>
      <c r="F59" s="21"/>
      <c r="G59" s="21"/>
      <c r="H59" s="57"/>
      <c r="I59" s="21"/>
      <c r="J59" s="79"/>
      <c r="K59" s="21"/>
      <c r="L59" s="79"/>
      <c r="M59" s="57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5.75" customHeight="1">
      <c r="A60" s="57"/>
      <c r="B60" s="80"/>
      <c r="C60" s="21"/>
      <c r="D60" s="22"/>
      <c r="E60" s="57"/>
      <c r="F60" s="21"/>
      <c r="G60" s="21"/>
      <c r="H60" s="57"/>
      <c r="I60" s="21"/>
      <c r="J60" s="79"/>
      <c r="K60" s="21"/>
      <c r="L60" s="79"/>
      <c r="M60" s="57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5.75" customHeight="1">
      <c r="A61" s="57"/>
      <c r="B61" s="80"/>
      <c r="C61" s="21"/>
      <c r="D61" s="22"/>
      <c r="E61" s="57"/>
      <c r="F61" s="21"/>
      <c r="G61" s="21"/>
      <c r="H61" s="57"/>
      <c r="I61" s="21"/>
      <c r="J61" s="79"/>
      <c r="K61" s="21"/>
      <c r="L61" s="79"/>
      <c r="M61" s="57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5.75" customHeight="1">
      <c r="A62" s="57"/>
      <c r="B62" s="80"/>
      <c r="C62" s="21"/>
      <c r="D62" s="22"/>
      <c r="E62" s="57"/>
      <c r="F62" s="21"/>
      <c r="G62" s="21"/>
      <c r="H62" s="57"/>
      <c r="I62" s="21"/>
      <c r="J62" s="79"/>
      <c r="K62" s="21"/>
      <c r="L62" s="79"/>
      <c r="M62" s="57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5.75" customHeight="1">
      <c r="A63" s="57"/>
      <c r="B63" s="80"/>
      <c r="C63" s="21"/>
      <c r="D63" s="22"/>
      <c r="E63" s="57"/>
      <c r="F63" s="21"/>
      <c r="G63" s="21"/>
      <c r="H63" s="57"/>
      <c r="I63" s="21"/>
      <c r="J63" s="79"/>
      <c r="K63" s="21"/>
      <c r="L63" s="79"/>
      <c r="M63" s="57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5.75" customHeight="1">
      <c r="A64" s="57"/>
      <c r="B64" s="80"/>
      <c r="C64" s="21"/>
      <c r="D64" s="22"/>
      <c r="E64" s="57"/>
      <c r="F64" s="21"/>
      <c r="G64" s="21"/>
      <c r="H64" s="57"/>
      <c r="I64" s="21"/>
      <c r="J64" s="79"/>
      <c r="K64" s="21"/>
      <c r="L64" s="79"/>
      <c r="M64" s="5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5.75" customHeight="1">
      <c r="A65" s="57"/>
      <c r="B65" s="80"/>
      <c r="C65" s="21"/>
      <c r="D65" s="22"/>
      <c r="E65" s="57"/>
      <c r="F65" s="21"/>
      <c r="G65" s="21"/>
      <c r="H65" s="57"/>
      <c r="I65" s="21"/>
      <c r="J65" s="79"/>
      <c r="K65" s="21"/>
      <c r="L65" s="79"/>
      <c r="M65" s="57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5.75" customHeight="1">
      <c r="A66" s="57"/>
      <c r="B66" s="80"/>
      <c r="C66" s="21"/>
      <c r="D66" s="22"/>
      <c r="E66" s="57"/>
      <c r="F66" s="21"/>
      <c r="G66" s="21"/>
      <c r="H66" s="57"/>
      <c r="I66" s="21"/>
      <c r="J66" s="79"/>
      <c r="K66" s="21"/>
      <c r="L66" s="79"/>
      <c r="M66" s="5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5.75" customHeight="1">
      <c r="A67" s="57"/>
      <c r="B67" s="80"/>
      <c r="C67" s="21"/>
      <c r="D67" s="22"/>
      <c r="E67" s="57"/>
      <c r="F67" s="21"/>
      <c r="G67" s="21"/>
      <c r="H67" s="57"/>
      <c r="I67" s="21"/>
      <c r="J67" s="79"/>
      <c r="K67" s="21"/>
      <c r="L67" s="79"/>
      <c r="M67" s="5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5.75" customHeight="1">
      <c r="A68" s="57"/>
      <c r="B68" s="80"/>
      <c r="C68" s="21"/>
      <c r="D68" s="22"/>
      <c r="E68" s="57"/>
      <c r="F68" s="21"/>
      <c r="G68" s="21"/>
      <c r="H68" s="57"/>
      <c r="I68" s="21"/>
      <c r="J68" s="79"/>
      <c r="K68" s="21"/>
      <c r="L68" s="79"/>
      <c r="M68" s="5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5.75" customHeight="1">
      <c r="A69" s="57"/>
      <c r="B69" s="80"/>
      <c r="C69" s="21"/>
      <c r="D69" s="22"/>
      <c r="E69" s="57"/>
      <c r="F69" s="21"/>
      <c r="G69" s="21"/>
      <c r="H69" s="57"/>
      <c r="I69" s="21"/>
      <c r="J69" s="79"/>
      <c r="K69" s="21"/>
      <c r="L69" s="79"/>
      <c r="M69" s="5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5.75" customHeight="1">
      <c r="A70" s="57"/>
      <c r="B70" s="80"/>
      <c r="C70" s="21"/>
      <c r="D70" s="22"/>
      <c r="E70" s="57"/>
      <c r="F70" s="21"/>
      <c r="G70" s="21"/>
      <c r="H70" s="57"/>
      <c r="I70" s="21"/>
      <c r="J70" s="79"/>
      <c r="K70" s="21"/>
      <c r="L70" s="79"/>
      <c r="M70" s="5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5.75" customHeight="1">
      <c r="A71" s="57"/>
      <c r="B71" s="80"/>
      <c r="C71" s="21"/>
      <c r="D71" s="22"/>
      <c r="E71" s="57"/>
      <c r="F71" s="21"/>
      <c r="G71" s="21"/>
      <c r="H71" s="57"/>
      <c r="I71" s="21"/>
      <c r="J71" s="79"/>
      <c r="K71" s="21"/>
      <c r="L71" s="79"/>
      <c r="M71" s="5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5.75" customHeight="1">
      <c r="A72" s="57"/>
      <c r="B72" s="80"/>
      <c r="C72" s="21"/>
      <c r="D72" s="22"/>
      <c r="E72" s="57"/>
      <c r="F72" s="21"/>
      <c r="G72" s="21"/>
      <c r="H72" s="57"/>
      <c r="I72" s="21"/>
      <c r="J72" s="79"/>
      <c r="K72" s="21"/>
      <c r="L72" s="79"/>
      <c r="M72" s="5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5.75" customHeight="1">
      <c r="A73" s="57"/>
      <c r="B73" s="80"/>
      <c r="C73" s="21"/>
      <c r="D73" s="22"/>
      <c r="E73" s="57"/>
      <c r="F73" s="21"/>
      <c r="G73" s="21"/>
      <c r="H73" s="57"/>
      <c r="I73" s="21"/>
      <c r="J73" s="79"/>
      <c r="K73" s="21"/>
      <c r="L73" s="79"/>
      <c r="M73" s="5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5.75" customHeight="1">
      <c r="A74" s="57"/>
      <c r="B74" s="80"/>
      <c r="C74" s="21"/>
      <c r="D74" s="22"/>
      <c r="E74" s="57"/>
      <c r="F74" s="21"/>
      <c r="G74" s="21"/>
      <c r="H74" s="57"/>
      <c r="I74" s="21"/>
      <c r="J74" s="79"/>
      <c r="K74" s="21"/>
      <c r="L74" s="79"/>
      <c r="M74" s="5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5.75" customHeight="1">
      <c r="A75" s="57"/>
      <c r="B75" s="80"/>
      <c r="C75" s="21"/>
      <c r="D75" s="22"/>
      <c r="E75" s="57"/>
      <c r="F75" s="21"/>
      <c r="G75" s="21"/>
      <c r="H75" s="57"/>
      <c r="I75" s="21"/>
      <c r="J75" s="79"/>
      <c r="K75" s="21"/>
      <c r="L75" s="79"/>
      <c r="M75" s="5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5.75" customHeight="1">
      <c r="A76" s="57"/>
      <c r="B76" s="80"/>
      <c r="C76" s="21"/>
      <c r="D76" s="22"/>
      <c r="E76" s="57"/>
      <c r="F76" s="21"/>
      <c r="G76" s="21"/>
      <c r="H76" s="57"/>
      <c r="I76" s="21"/>
      <c r="J76" s="79"/>
      <c r="K76" s="21"/>
      <c r="L76" s="79"/>
      <c r="M76" s="5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5.75" customHeight="1">
      <c r="A77" s="57"/>
      <c r="B77" s="80"/>
      <c r="C77" s="21"/>
      <c r="D77" s="22"/>
      <c r="E77" s="57"/>
      <c r="F77" s="21"/>
      <c r="G77" s="21"/>
      <c r="H77" s="57"/>
      <c r="I77" s="21"/>
      <c r="J77" s="79"/>
      <c r="K77" s="21"/>
      <c r="L77" s="79"/>
      <c r="M77" s="57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5.75" customHeight="1">
      <c r="A78" s="57"/>
      <c r="B78" s="80"/>
      <c r="C78" s="21"/>
      <c r="D78" s="22"/>
      <c r="E78" s="57"/>
      <c r="F78" s="21"/>
      <c r="G78" s="21"/>
      <c r="H78" s="57"/>
      <c r="I78" s="21"/>
      <c r="J78" s="79"/>
      <c r="K78" s="21"/>
      <c r="L78" s="79"/>
      <c r="M78" s="5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5.75" customHeight="1">
      <c r="A79" s="57"/>
      <c r="B79" s="80"/>
      <c r="C79" s="21"/>
      <c r="D79" s="22"/>
      <c r="E79" s="57"/>
      <c r="F79" s="21"/>
      <c r="G79" s="21"/>
      <c r="H79" s="57"/>
      <c r="I79" s="21"/>
      <c r="J79" s="79"/>
      <c r="K79" s="21"/>
      <c r="L79" s="79"/>
      <c r="M79" s="57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5.75" customHeight="1">
      <c r="A80" s="57"/>
      <c r="B80" s="80"/>
      <c r="C80" s="21"/>
      <c r="D80" s="22"/>
      <c r="E80" s="57"/>
      <c r="F80" s="21"/>
      <c r="G80" s="21"/>
      <c r="H80" s="57"/>
      <c r="I80" s="21"/>
      <c r="J80" s="79"/>
      <c r="K80" s="21"/>
      <c r="L80" s="79"/>
      <c r="M80" s="57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5.75" customHeight="1">
      <c r="A81" s="57"/>
      <c r="B81" s="80"/>
      <c r="C81" s="21"/>
      <c r="D81" s="22"/>
      <c r="E81" s="57"/>
      <c r="F81" s="21"/>
      <c r="G81" s="21"/>
      <c r="H81" s="57"/>
      <c r="I81" s="21"/>
      <c r="J81" s="79"/>
      <c r="K81" s="21"/>
      <c r="L81" s="79"/>
      <c r="M81" s="57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5.75" customHeight="1">
      <c r="A82" s="57"/>
      <c r="B82" s="80"/>
      <c r="C82" s="21"/>
      <c r="D82" s="22"/>
      <c r="E82" s="57"/>
      <c r="F82" s="21"/>
      <c r="G82" s="21"/>
      <c r="H82" s="57"/>
      <c r="I82" s="21"/>
      <c r="J82" s="79"/>
      <c r="K82" s="21"/>
      <c r="L82" s="79"/>
      <c r="M82" s="5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5.75" customHeight="1">
      <c r="A83" s="57"/>
      <c r="B83" s="80"/>
      <c r="C83" s="21"/>
      <c r="D83" s="22"/>
      <c r="E83" s="57"/>
      <c r="F83" s="21"/>
      <c r="G83" s="21"/>
      <c r="H83" s="57"/>
      <c r="I83" s="21"/>
      <c r="J83" s="79"/>
      <c r="K83" s="21"/>
      <c r="L83" s="79"/>
      <c r="M83" s="57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5.75" customHeight="1">
      <c r="A84" s="57"/>
      <c r="B84" s="80"/>
      <c r="C84" s="21"/>
      <c r="D84" s="22"/>
      <c r="E84" s="57"/>
      <c r="F84" s="21"/>
      <c r="G84" s="21"/>
      <c r="H84" s="57"/>
      <c r="I84" s="21"/>
      <c r="J84" s="79"/>
      <c r="K84" s="21"/>
      <c r="L84" s="79"/>
      <c r="M84" s="57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5.75" customHeight="1">
      <c r="A85" s="57"/>
      <c r="B85" s="80"/>
      <c r="C85" s="21"/>
      <c r="D85" s="22"/>
      <c r="E85" s="57"/>
      <c r="F85" s="21"/>
      <c r="G85" s="21"/>
      <c r="H85" s="57"/>
      <c r="I85" s="21"/>
      <c r="J85" s="79"/>
      <c r="K85" s="21"/>
      <c r="L85" s="79"/>
      <c r="M85" s="57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5.75" customHeight="1">
      <c r="A86" s="57"/>
      <c r="B86" s="80"/>
      <c r="C86" s="21"/>
      <c r="D86" s="22"/>
      <c r="E86" s="57"/>
      <c r="F86" s="21"/>
      <c r="G86" s="21"/>
      <c r="H86" s="57"/>
      <c r="I86" s="21"/>
      <c r="J86" s="79"/>
      <c r="K86" s="21"/>
      <c r="L86" s="79"/>
      <c r="M86" s="57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5.75" customHeight="1">
      <c r="A87" s="57"/>
      <c r="B87" s="80"/>
      <c r="C87" s="21"/>
      <c r="D87" s="22"/>
      <c r="E87" s="57"/>
      <c r="F87" s="21"/>
      <c r="G87" s="21"/>
      <c r="H87" s="57"/>
      <c r="I87" s="21"/>
      <c r="J87" s="79"/>
      <c r="K87" s="21"/>
      <c r="L87" s="79"/>
      <c r="M87" s="57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5.75" customHeight="1">
      <c r="A88" s="57"/>
      <c r="B88" s="80"/>
      <c r="C88" s="21"/>
      <c r="D88" s="22"/>
      <c r="E88" s="57"/>
      <c r="F88" s="21"/>
      <c r="G88" s="21"/>
      <c r="H88" s="57"/>
      <c r="I88" s="21"/>
      <c r="J88" s="79"/>
      <c r="K88" s="21"/>
      <c r="L88" s="79"/>
      <c r="M88" s="57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5.75" customHeight="1">
      <c r="A89" s="57"/>
      <c r="B89" s="80"/>
      <c r="C89" s="21"/>
      <c r="D89" s="22"/>
      <c r="E89" s="57"/>
      <c r="F89" s="21"/>
      <c r="G89" s="21"/>
      <c r="H89" s="57"/>
      <c r="I89" s="21"/>
      <c r="J89" s="79"/>
      <c r="K89" s="21"/>
      <c r="L89" s="79"/>
      <c r="M89" s="57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5.75" customHeight="1">
      <c r="A90" s="57"/>
      <c r="B90" s="80"/>
      <c r="C90" s="21"/>
      <c r="D90" s="22"/>
      <c r="E90" s="57"/>
      <c r="F90" s="21"/>
      <c r="G90" s="21"/>
      <c r="H90" s="57"/>
      <c r="I90" s="21"/>
      <c r="J90" s="79"/>
      <c r="K90" s="21"/>
      <c r="L90" s="79"/>
      <c r="M90" s="5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5.75" customHeight="1">
      <c r="A91" s="57"/>
      <c r="B91" s="80"/>
      <c r="C91" s="21"/>
      <c r="D91" s="22"/>
      <c r="E91" s="57"/>
      <c r="F91" s="21"/>
      <c r="G91" s="21"/>
      <c r="H91" s="57"/>
      <c r="I91" s="21"/>
      <c r="J91" s="79"/>
      <c r="K91" s="21"/>
      <c r="L91" s="79"/>
      <c r="M91" s="57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5.75" customHeight="1">
      <c r="A92" s="57"/>
      <c r="B92" s="80"/>
      <c r="C92" s="21"/>
      <c r="D92" s="22"/>
      <c r="E92" s="57"/>
      <c r="F92" s="21"/>
      <c r="G92" s="21"/>
      <c r="H92" s="57"/>
      <c r="I92" s="21"/>
      <c r="J92" s="79"/>
      <c r="K92" s="21"/>
      <c r="L92" s="79"/>
      <c r="M92" s="57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5.75" customHeight="1">
      <c r="A93" s="57"/>
      <c r="B93" s="80"/>
      <c r="C93" s="21"/>
      <c r="D93" s="22"/>
      <c r="E93" s="57"/>
      <c r="F93" s="21"/>
      <c r="G93" s="21"/>
      <c r="H93" s="57"/>
      <c r="I93" s="21"/>
      <c r="J93" s="79"/>
      <c r="K93" s="21"/>
      <c r="L93" s="79"/>
      <c r="M93" s="57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5.75" customHeight="1">
      <c r="A94" s="57"/>
      <c r="B94" s="80"/>
      <c r="C94" s="21"/>
      <c r="D94" s="22"/>
      <c r="E94" s="57"/>
      <c r="F94" s="21"/>
      <c r="G94" s="21"/>
      <c r="H94" s="57"/>
      <c r="I94" s="21"/>
      <c r="J94" s="79"/>
      <c r="K94" s="21"/>
      <c r="L94" s="79"/>
      <c r="M94" s="57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5.75" customHeight="1">
      <c r="A95" s="57"/>
      <c r="B95" s="80"/>
      <c r="C95" s="21"/>
      <c r="D95" s="22"/>
      <c r="E95" s="57"/>
      <c r="F95" s="21"/>
      <c r="G95" s="21"/>
      <c r="H95" s="57"/>
      <c r="I95" s="21"/>
      <c r="J95" s="79"/>
      <c r="K95" s="21"/>
      <c r="L95" s="79"/>
      <c r="M95" s="57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5.75" customHeight="1">
      <c r="A96" s="57"/>
      <c r="B96" s="80"/>
      <c r="C96" s="21"/>
      <c r="D96" s="22"/>
      <c r="E96" s="57"/>
      <c r="F96" s="21"/>
      <c r="G96" s="21"/>
      <c r="H96" s="57"/>
      <c r="I96" s="21"/>
      <c r="J96" s="79"/>
      <c r="K96" s="21"/>
      <c r="L96" s="79"/>
      <c r="M96" s="57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5.75" customHeight="1">
      <c r="A97" s="57"/>
      <c r="B97" s="80"/>
      <c r="C97" s="21"/>
      <c r="D97" s="22"/>
      <c r="E97" s="57"/>
      <c r="F97" s="21"/>
      <c r="G97" s="21"/>
      <c r="H97" s="57"/>
      <c r="I97" s="21"/>
      <c r="J97" s="79"/>
      <c r="K97" s="21"/>
      <c r="L97" s="79"/>
      <c r="M97" s="57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5.75" customHeight="1">
      <c r="A98" s="57"/>
      <c r="B98" s="80"/>
      <c r="C98" s="21"/>
      <c r="D98" s="22"/>
      <c r="E98" s="57"/>
      <c r="F98" s="21"/>
      <c r="G98" s="21"/>
      <c r="H98" s="57"/>
      <c r="I98" s="21"/>
      <c r="J98" s="79"/>
      <c r="K98" s="21"/>
      <c r="L98" s="79"/>
      <c r="M98" s="57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5.75" customHeight="1">
      <c r="A99" s="57"/>
      <c r="B99" s="80"/>
      <c r="C99" s="21"/>
      <c r="D99" s="22"/>
      <c r="E99" s="57"/>
      <c r="F99" s="21"/>
      <c r="G99" s="21"/>
      <c r="H99" s="57"/>
      <c r="I99" s="21"/>
      <c r="J99" s="79"/>
      <c r="K99" s="21"/>
      <c r="L99" s="79"/>
      <c r="M99" s="57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5.75" customHeight="1">
      <c r="A100" s="57"/>
      <c r="B100" s="80"/>
      <c r="C100" s="21"/>
      <c r="D100" s="22"/>
      <c r="E100" s="57"/>
      <c r="F100" s="21"/>
      <c r="G100" s="21"/>
      <c r="H100" s="57"/>
      <c r="I100" s="21"/>
      <c r="J100" s="79"/>
      <c r="K100" s="21"/>
      <c r="L100" s="79"/>
      <c r="M100" s="57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5.75" customHeight="1">
      <c r="A101" s="57"/>
      <c r="B101" s="80"/>
      <c r="C101" s="21"/>
      <c r="D101" s="22"/>
      <c r="E101" s="57"/>
      <c r="F101" s="21"/>
      <c r="G101" s="21"/>
      <c r="H101" s="57"/>
      <c r="I101" s="21"/>
      <c r="J101" s="79"/>
      <c r="K101" s="21"/>
      <c r="L101" s="79"/>
      <c r="M101" s="57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5.75" customHeight="1">
      <c r="A102" s="57"/>
      <c r="B102" s="80"/>
      <c r="C102" s="21"/>
      <c r="D102" s="22"/>
      <c r="E102" s="57"/>
      <c r="F102" s="21"/>
      <c r="G102" s="21"/>
      <c r="H102" s="57"/>
      <c r="I102" s="21"/>
      <c r="J102" s="79"/>
      <c r="K102" s="21"/>
      <c r="L102" s="79"/>
      <c r="M102" s="57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5.75" customHeight="1">
      <c r="A103" s="57"/>
      <c r="B103" s="80"/>
      <c r="C103" s="21"/>
      <c r="D103" s="22"/>
      <c r="E103" s="57"/>
      <c r="F103" s="21"/>
      <c r="G103" s="21"/>
      <c r="H103" s="57"/>
      <c r="I103" s="21"/>
      <c r="J103" s="79"/>
      <c r="K103" s="21"/>
      <c r="L103" s="79"/>
      <c r="M103" s="57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5.75" customHeight="1">
      <c r="A104" s="57"/>
      <c r="B104" s="80"/>
      <c r="C104" s="21"/>
      <c r="D104" s="22"/>
      <c r="E104" s="57"/>
      <c r="F104" s="21"/>
      <c r="G104" s="21"/>
      <c r="H104" s="57"/>
      <c r="I104" s="21"/>
      <c r="J104" s="79"/>
      <c r="K104" s="21"/>
      <c r="L104" s="79"/>
      <c r="M104" s="5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5.75" customHeight="1">
      <c r="A105" s="57"/>
      <c r="B105" s="80"/>
      <c r="C105" s="21"/>
      <c r="D105" s="22"/>
      <c r="E105" s="57"/>
      <c r="F105" s="21"/>
      <c r="G105" s="21"/>
      <c r="H105" s="57"/>
      <c r="I105" s="21"/>
      <c r="J105" s="79"/>
      <c r="K105" s="21"/>
      <c r="L105" s="79"/>
      <c r="M105" s="5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5.75" customHeight="1">
      <c r="A106" s="57"/>
      <c r="B106" s="80"/>
      <c r="C106" s="21"/>
      <c r="D106" s="22"/>
      <c r="E106" s="57"/>
      <c r="F106" s="21"/>
      <c r="G106" s="21"/>
      <c r="H106" s="57"/>
      <c r="I106" s="21"/>
      <c r="J106" s="79"/>
      <c r="K106" s="21"/>
      <c r="L106" s="79"/>
      <c r="M106" s="5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5.75" customHeight="1">
      <c r="A107" s="57"/>
      <c r="B107" s="80"/>
      <c r="C107" s="21"/>
      <c r="D107" s="22"/>
      <c r="E107" s="57"/>
      <c r="F107" s="21"/>
      <c r="G107" s="21"/>
      <c r="H107" s="57"/>
      <c r="I107" s="21"/>
      <c r="J107" s="79"/>
      <c r="K107" s="21"/>
      <c r="L107" s="79"/>
      <c r="M107" s="5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5.75" customHeight="1">
      <c r="A108" s="57"/>
      <c r="B108" s="80"/>
      <c r="C108" s="21"/>
      <c r="D108" s="22"/>
      <c r="E108" s="57"/>
      <c r="F108" s="21"/>
      <c r="G108" s="21"/>
      <c r="H108" s="57"/>
      <c r="I108" s="21"/>
      <c r="J108" s="79"/>
      <c r="K108" s="21"/>
      <c r="L108" s="79"/>
      <c r="M108" s="5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5.75" customHeight="1">
      <c r="A109" s="57"/>
      <c r="B109" s="80"/>
      <c r="C109" s="21"/>
      <c r="D109" s="22"/>
      <c r="E109" s="57"/>
      <c r="F109" s="21"/>
      <c r="G109" s="21"/>
      <c r="H109" s="57"/>
      <c r="I109" s="21"/>
      <c r="J109" s="79"/>
      <c r="K109" s="21"/>
      <c r="L109" s="79"/>
      <c r="M109" s="5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5.75" customHeight="1">
      <c r="A110" s="57"/>
      <c r="B110" s="80"/>
      <c r="C110" s="21"/>
      <c r="D110" s="22"/>
      <c r="E110" s="57"/>
      <c r="F110" s="21"/>
      <c r="G110" s="21"/>
      <c r="H110" s="57"/>
      <c r="I110" s="21"/>
      <c r="J110" s="79"/>
      <c r="K110" s="21"/>
      <c r="L110" s="79"/>
      <c r="M110" s="5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5.75" customHeight="1">
      <c r="A111" s="57"/>
      <c r="B111" s="80"/>
      <c r="C111" s="21"/>
      <c r="D111" s="22"/>
      <c r="E111" s="57"/>
      <c r="F111" s="21"/>
      <c r="G111" s="21"/>
      <c r="H111" s="57"/>
      <c r="I111" s="21"/>
      <c r="J111" s="79"/>
      <c r="K111" s="21"/>
      <c r="L111" s="79"/>
      <c r="M111" s="57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5.75" customHeight="1">
      <c r="A112" s="57"/>
      <c r="B112" s="80"/>
      <c r="C112" s="21"/>
      <c r="D112" s="22"/>
      <c r="E112" s="57"/>
      <c r="F112" s="21"/>
      <c r="G112" s="21"/>
      <c r="H112" s="57"/>
      <c r="I112" s="21"/>
      <c r="J112" s="79"/>
      <c r="K112" s="21"/>
      <c r="L112" s="79"/>
      <c r="M112" s="57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5.75" customHeight="1">
      <c r="A113" s="57"/>
      <c r="B113" s="80"/>
      <c r="C113" s="21"/>
      <c r="D113" s="22"/>
      <c r="E113" s="57"/>
      <c r="F113" s="21"/>
      <c r="G113" s="21"/>
      <c r="H113" s="57"/>
      <c r="I113" s="21"/>
      <c r="J113" s="79"/>
      <c r="K113" s="21"/>
      <c r="L113" s="79"/>
      <c r="M113" s="5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5.75" customHeight="1">
      <c r="A114" s="57"/>
      <c r="B114" s="80"/>
      <c r="C114" s="21"/>
      <c r="D114" s="22"/>
      <c r="E114" s="57"/>
      <c r="F114" s="21"/>
      <c r="G114" s="21"/>
      <c r="H114" s="57"/>
      <c r="I114" s="21"/>
      <c r="J114" s="79"/>
      <c r="K114" s="21"/>
      <c r="L114" s="79"/>
      <c r="M114" s="57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5.75" customHeight="1">
      <c r="A115" s="57"/>
      <c r="B115" s="80"/>
      <c r="C115" s="21"/>
      <c r="D115" s="22"/>
      <c r="E115" s="57"/>
      <c r="F115" s="21"/>
      <c r="G115" s="21"/>
      <c r="H115" s="57"/>
      <c r="I115" s="21"/>
      <c r="J115" s="79"/>
      <c r="K115" s="21"/>
      <c r="L115" s="79"/>
      <c r="M115" s="57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5.75" customHeight="1">
      <c r="A116" s="57"/>
      <c r="B116" s="80"/>
      <c r="C116" s="21"/>
      <c r="D116" s="22"/>
      <c r="E116" s="57"/>
      <c r="F116" s="21"/>
      <c r="G116" s="21"/>
      <c r="H116" s="57"/>
      <c r="I116" s="21"/>
      <c r="J116" s="79"/>
      <c r="K116" s="21"/>
      <c r="L116" s="79"/>
      <c r="M116" s="57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5.75" customHeight="1">
      <c r="A117" s="57"/>
      <c r="B117" s="80"/>
      <c r="C117" s="21"/>
      <c r="D117" s="22"/>
      <c r="E117" s="57"/>
      <c r="F117" s="21"/>
      <c r="G117" s="21"/>
      <c r="H117" s="57"/>
      <c r="I117" s="21"/>
      <c r="J117" s="79"/>
      <c r="K117" s="21"/>
      <c r="L117" s="79"/>
      <c r="M117" s="57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5.75" customHeight="1">
      <c r="A118" s="57"/>
      <c r="B118" s="80"/>
      <c r="C118" s="21"/>
      <c r="D118" s="22"/>
      <c r="E118" s="57"/>
      <c r="F118" s="21"/>
      <c r="G118" s="21"/>
      <c r="H118" s="57"/>
      <c r="I118" s="21"/>
      <c r="J118" s="79"/>
      <c r="K118" s="21"/>
      <c r="L118" s="79"/>
      <c r="M118" s="5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5.75" customHeight="1">
      <c r="A119" s="57"/>
      <c r="B119" s="80"/>
      <c r="C119" s="21"/>
      <c r="D119" s="22"/>
      <c r="E119" s="57"/>
      <c r="F119" s="21"/>
      <c r="G119" s="21"/>
      <c r="H119" s="57"/>
      <c r="I119" s="21"/>
      <c r="J119" s="79"/>
      <c r="K119" s="21"/>
      <c r="L119" s="79"/>
      <c r="M119" s="57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5.75" customHeight="1">
      <c r="A120" s="57"/>
      <c r="B120" s="80"/>
      <c r="C120" s="21"/>
      <c r="D120" s="22"/>
      <c r="E120" s="57"/>
      <c r="F120" s="21"/>
      <c r="G120" s="21"/>
      <c r="H120" s="57"/>
      <c r="I120" s="21"/>
      <c r="J120" s="79"/>
      <c r="K120" s="21"/>
      <c r="L120" s="79"/>
      <c r="M120" s="57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5.75" customHeight="1">
      <c r="A121" s="57"/>
      <c r="B121" s="80"/>
      <c r="C121" s="21"/>
      <c r="D121" s="22"/>
      <c r="E121" s="57"/>
      <c r="F121" s="21"/>
      <c r="G121" s="21"/>
      <c r="H121" s="57"/>
      <c r="I121" s="21"/>
      <c r="J121" s="79"/>
      <c r="K121" s="21"/>
      <c r="L121" s="79"/>
      <c r="M121" s="57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5.75" customHeight="1">
      <c r="A122" s="57"/>
      <c r="B122" s="80"/>
      <c r="C122" s="21"/>
      <c r="D122" s="22"/>
      <c r="E122" s="57"/>
      <c r="F122" s="21"/>
      <c r="G122" s="21"/>
      <c r="H122" s="57"/>
      <c r="I122" s="21"/>
      <c r="J122" s="79"/>
      <c r="K122" s="21"/>
      <c r="L122" s="79"/>
      <c r="M122" s="57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5.75" customHeight="1">
      <c r="A123" s="57"/>
      <c r="B123" s="80"/>
      <c r="C123" s="21"/>
      <c r="D123" s="22"/>
      <c r="E123" s="57"/>
      <c r="F123" s="21"/>
      <c r="G123" s="21"/>
      <c r="H123" s="57"/>
      <c r="I123" s="21"/>
      <c r="J123" s="79"/>
      <c r="K123" s="21"/>
      <c r="L123" s="79"/>
      <c r="M123" s="57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5.75" customHeight="1">
      <c r="A124" s="57"/>
      <c r="B124" s="80"/>
      <c r="C124" s="21"/>
      <c r="D124" s="22"/>
      <c r="E124" s="57"/>
      <c r="F124" s="21"/>
      <c r="G124" s="21"/>
      <c r="H124" s="57"/>
      <c r="I124" s="21"/>
      <c r="J124" s="79"/>
      <c r="K124" s="21"/>
      <c r="L124" s="79"/>
      <c r="M124" s="57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5.75" customHeight="1">
      <c r="A125" s="57"/>
      <c r="B125" s="80"/>
      <c r="C125" s="21"/>
      <c r="D125" s="22"/>
      <c r="E125" s="57"/>
      <c r="F125" s="21"/>
      <c r="G125" s="21"/>
      <c r="H125" s="57"/>
      <c r="I125" s="21"/>
      <c r="J125" s="79"/>
      <c r="K125" s="21"/>
      <c r="L125" s="79"/>
      <c r="M125" s="57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5.75" customHeight="1">
      <c r="A126" s="57"/>
      <c r="B126" s="80"/>
      <c r="C126" s="21"/>
      <c r="D126" s="22"/>
      <c r="E126" s="57"/>
      <c r="F126" s="21"/>
      <c r="G126" s="21"/>
      <c r="H126" s="57"/>
      <c r="I126" s="21"/>
      <c r="J126" s="79"/>
      <c r="K126" s="21"/>
      <c r="L126" s="79"/>
      <c r="M126" s="57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5.75" customHeight="1">
      <c r="A127" s="57"/>
      <c r="B127" s="80"/>
      <c r="C127" s="21"/>
      <c r="D127" s="22"/>
      <c r="E127" s="57"/>
      <c r="F127" s="21"/>
      <c r="G127" s="21"/>
      <c r="H127" s="57"/>
      <c r="I127" s="21"/>
      <c r="J127" s="79"/>
      <c r="K127" s="21"/>
      <c r="L127" s="79"/>
      <c r="M127" s="5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5.75" customHeight="1">
      <c r="A128" s="57"/>
      <c r="B128" s="80"/>
      <c r="C128" s="21"/>
      <c r="D128" s="22"/>
      <c r="E128" s="57"/>
      <c r="F128" s="21"/>
      <c r="G128" s="21"/>
      <c r="H128" s="57"/>
      <c r="I128" s="21"/>
      <c r="J128" s="79"/>
      <c r="K128" s="21"/>
      <c r="L128" s="79"/>
      <c r="M128" s="5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5.75" customHeight="1">
      <c r="A129" s="57"/>
      <c r="B129" s="80"/>
      <c r="C129" s="21"/>
      <c r="D129" s="22"/>
      <c r="E129" s="57"/>
      <c r="F129" s="21"/>
      <c r="G129" s="21"/>
      <c r="H129" s="57"/>
      <c r="I129" s="21"/>
      <c r="J129" s="79"/>
      <c r="K129" s="21"/>
      <c r="L129" s="79"/>
      <c r="M129" s="5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5.75" customHeight="1">
      <c r="A130" s="57"/>
      <c r="B130" s="80"/>
      <c r="C130" s="21"/>
      <c r="D130" s="22"/>
      <c r="E130" s="57"/>
      <c r="F130" s="21"/>
      <c r="G130" s="21"/>
      <c r="H130" s="57"/>
      <c r="I130" s="21"/>
      <c r="J130" s="79"/>
      <c r="K130" s="21"/>
      <c r="L130" s="79"/>
      <c r="M130" s="57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5.75" customHeight="1">
      <c r="A131" s="57"/>
      <c r="B131" s="80"/>
      <c r="C131" s="21"/>
      <c r="D131" s="22"/>
      <c r="E131" s="57"/>
      <c r="F131" s="21"/>
      <c r="G131" s="21"/>
      <c r="H131" s="57"/>
      <c r="I131" s="21"/>
      <c r="J131" s="79"/>
      <c r="K131" s="21"/>
      <c r="L131" s="79"/>
      <c r="M131" s="57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5.75" customHeight="1">
      <c r="A132" s="57"/>
      <c r="B132" s="80"/>
      <c r="C132" s="21"/>
      <c r="D132" s="22"/>
      <c r="E132" s="57"/>
      <c r="F132" s="21"/>
      <c r="G132" s="21"/>
      <c r="H132" s="57"/>
      <c r="I132" s="21"/>
      <c r="J132" s="79"/>
      <c r="K132" s="21"/>
      <c r="L132" s="79"/>
      <c r="M132" s="57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5.75" customHeight="1">
      <c r="A133" s="57"/>
      <c r="B133" s="80"/>
      <c r="C133" s="21"/>
      <c r="D133" s="22"/>
      <c r="E133" s="57"/>
      <c r="F133" s="21"/>
      <c r="G133" s="21"/>
      <c r="H133" s="57"/>
      <c r="I133" s="21"/>
      <c r="J133" s="79"/>
      <c r="K133" s="21"/>
      <c r="L133" s="79"/>
      <c r="M133" s="5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5.75" customHeight="1">
      <c r="A134" s="57"/>
      <c r="B134" s="80"/>
      <c r="C134" s="21"/>
      <c r="D134" s="22"/>
      <c r="E134" s="57"/>
      <c r="F134" s="21"/>
      <c r="G134" s="21"/>
      <c r="H134" s="57"/>
      <c r="I134" s="21"/>
      <c r="J134" s="79"/>
      <c r="K134" s="21"/>
      <c r="L134" s="79"/>
      <c r="M134" s="57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5.75" customHeight="1">
      <c r="A135" s="57"/>
      <c r="B135" s="80"/>
      <c r="C135" s="21"/>
      <c r="D135" s="22"/>
      <c r="E135" s="57"/>
      <c r="F135" s="21"/>
      <c r="G135" s="21"/>
      <c r="H135" s="57"/>
      <c r="I135" s="21"/>
      <c r="J135" s="79"/>
      <c r="K135" s="21"/>
      <c r="L135" s="79"/>
      <c r="M135" s="57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5.75" customHeight="1">
      <c r="A136" s="57"/>
      <c r="B136" s="80"/>
      <c r="C136" s="21"/>
      <c r="D136" s="22"/>
      <c r="E136" s="57"/>
      <c r="F136" s="21"/>
      <c r="G136" s="21"/>
      <c r="H136" s="57"/>
      <c r="I136" s="21"/>
      <c r="J136" s="79"/>
      <c r="K136" s="21"/>
      <c r="L136" s="79"/>
      <c r="M136" s="5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5.75" customHeight="1">
      <c r="A137" s="57"/>
      <c r="B137" s="80"/>
      <c r="C137" s="21"/>
      <c r="D137" s="22"/>
      <c r="E137" s="57"/>
      <c r="F137" s="21"/>
      <c r="G137" s="21"/>
      <c r="H137" s="57"/>
      <c r="I137" s="21"/>
      <c r="J137" s="79"/>
      <c r="K137" s="21"/>
      <c r="L137" s="79"/>
      <c r="M137" s="5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5.75" customHeight="1">
      <c r="A138" s="57"/>
      <c r="B138" s="80"/>
      <c r="C138" s="21"/>
      <c r="D138" s="22"/>
      <c r="E138" s="57"/>
      <c r="F138" s="21"/>
      <c r="G138" s="21"/>
      <c r="H138" s="57"/>
      <c r="I138" s="21"/>
      <c r="J138" s="79"/>
      <c r="K138" s="21"/>
      <c r="L138" s="79"/>
      <c r="M138" s="57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5.75" customHeight="1">
      <c r="A139" s="57"/>
      <c r="B139" s="80"/>
      <c r="C139" s="21"/>
      <c r="D139" s="22"/>
      <c r="E139" s="57"/>
      <c r="F139" s="21"/>
      <c r="G139" s="21"/>
      <c r="H139" s="57"/>
      <c r="I139" s="21"/>
      <c r="J139" s="79"/>
      <c r="K139" s="21"/>
      <c r="L139" s="79"/>
      <c r="M139" s="57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5.75" customHeight="1">
      <c r="A140" s="57"/>
      <c r="B140" s="80"/>
      <c r="C140" s="21"/>
      <c r="D140" s="22"/>
      <c r="E140" s="57"/>
      <c r="F140" s="21"/>
      <c r="G140" s="21"/>
      <c r="H140" s="57"/>
      <c r="I140" s="21"/>
      <c r="J140" s="79"/>
      <c r="K140" s="21"/>
      <c r="L140" s="79"/>
      <c r="M140" s="57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5.75" customHeight="1">
      <c r="A141" s="57"/>
      <c r="B141" s="80"/>
      <c r="C141" s="21"/>
      <c r="D141" s="22"/>
      <c r="E141" s="57"/>
      <c r="F141" s="21"/>
      <c r="G141" s="21"/>
      <c r="H141" s="57"/>
      <c r="I141" s="21"/>
      <c r="J141" s="79"/>
      <c r="K141" s="21"/>
      <c r="L141" s="79"/>
      <c r="M141" s="57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5.75" customHeight="1">
      <c r="A142" s="57"/>
      <c r="B142" s="80"/>
      <c r="C142" s="21"/>
      <c r="D142" s="22"/>
      <c r="E142" s="57"/>
      <c r="F142" s="21"/>
      <c r="G142" s="21"/>
      <c r="H142" s="57"/>
      <c r="I142" s="21"/>
      <c r="J142" s="79"/>
      <c r="K142" s="21"/>
      <c r="L142" s="79"/>
      <c r="M142" s="5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5.75" customHeight="1">
      <c r="A143" s="57"/>
      <c r="B143" s="80"/>
      <c r="C143" s="21"/>
      <c r="D143" s="22"/>
      <c r="E143" s="57"/>
      <c r="F143" s="21"/>
      <c r="G143" s="21"/>
      <c r="H143" s="57"/>
      <c r="I143" s="21"/>
      <c r="J143" s="79"/>
      <c r="K143" s="21"/>
      <c r="L143" s="79"/>
      <c r="M143" s="5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5.75" customHeight="1">
      <c r="A144" s="57"/>
      <c r="B144" s="80"/>
      <c r="C144" s="21"/>
      <c r="D144" s="22"/>
      <c r="E144" s="57"/>
      <c r="F144" s="21"/>
      <c r="G144" s="21"/>
      <c r="H144" s="57"/>
      <c r="I144" s="21"/>
      <c r="J144" s="79"/>
      <c r="K144" s="21"/>
      <c r="L144" s="79"/>
      <c r="M144" s="5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5.75" customHeight="1">
      <c r="A145" s="57"/>
      <c r="B145" s="80"/>
      <c r="C145" s="21"/>
      <c r="D145" s="22"/>
      <c r="E145" s="57"/>
      <c r="F145" s="21"/>
      <c r="G145" s="21"/>
      <c r="H145" s="57"/>
      <c r="I145" s="21"/>
      <c r="J145" s="79"/>
      <c r="K145" s="21"/>
      <c r="L145" s="79"/>
      <c r="M145" s="5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5.75" customHeight="1">
      <c r="A146" s="57"/>
      <c r="B146" s="80"/>
      <c r="C146" s="21"/>
      <c r="D146" s="22"/>
      <c r="E146" s="57"/>
      <c r="F146" s="21"/>
      <c r="G146" s="21"/>
      <c r="H146" s="57"/>
      <c r="I146" s="21"/>
      <c r="J146" s="79"/>
      <c r="K146" s="21"/>
      <c r="L146" s="79"/>
      <c r="M146" s="5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5.75" customHeight="1">
      <c r="A147" s="57"/>
      <c r="B147" s="80"/>
      <c r="C147" s="21"/>
      <c r="D147" s="22"/>
      <c r="E147" s="57"/>
      <c r="F147" s="21"/>
      <c r="G147" s="21"/>
      <c r="H147" s="57"/>
      <c r="I147" s="21"/>
      <c r="J147" s="79"/>
      <c r="K147" s="21"/>
      <c r="L147" s="79"/>
      <c r="M147" s="5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5.75" customHeight="1">
      <c r="A148" s="57"/>
      <c r="B148" s="80"/>
      <c r="C148" s="21"/>
      <c r="D148" s="22"/>
      <c r="E148" s="57"/>
      <c r="F148" s="21"/>
      <c r="G148" s="21"/>
      <c r="H148" s="57"/>
      <c r="I148" s="21"/>
      <c r="J148" s="79"/>
      <c r="K148" s="21"/>
      <c r="L148" s="79"/>
      <c r="M148" s="5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5.75" customHeight="1">
      <c r="A149" s="57"/>
      <c r="B149" s="80"/>
      <c r="C149" s="21"/>
      <c r="D149" s="22"/>
      <c r="E149" s="57"/>
      <c r="F149" s="21"/>
      <c r="G149" s="21"/>
      <c r="H149" s="57"/>
      <c r="I149" s="21"/>
      <c r="J149" s="79"/>
      <c r="K149" s="21"/>
      <c r="L149" s="79"/>
      <c r="M149" s="5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5.75" customHeight="1">
      <c r="A150" s="57"/>
      <c r="B150" s="80"/>
      <c r="C150" s="21"/>
      <c r="D150" s="22"/>
      <c r="E150" s="57"/>
      <c r="F150" s="21"/>
      <c r="G150" s="21"/>
      <c r="H150" s="57"/>
      <c r="I150" s="21"/>
      <c r="J150" s="79"/>
      <c r="K150" s="21"/>
      <c r="L150" s="79"/>
      <c r="M150" s="57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5.75" customHeight="1">
      <c r="A151" s="57"/>
      <c r="B151" s="80"/>
      <c r="C151" s="21"/>
      <c r="D151" s="22"/>
      <c r="E151" s="57"/>
      <c r="F151" s="21"/>
      <c r="G151" s="21"/>
      <c r="H151" s="57"/>
      <c r="I151" s="21"/>
      <c r="J151" s="79"/>
      <c r="K151" s="21"/>
      <c r="L151" s="79"/>
      <c r="M151" s="57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5.75" customHeight="1">
      <c r="A152" s="57"/>
      <c r="B152" s="80"/>
      <c r="C152" s="21"/>
      <c r="D152" s="22"/>
      <c r="E152" s="57"/>
      <c r="F152" s="21"/>
      <c r="G152" s="21"/>
      <c r="H152" s="57"/>
      <c r="I152" s="21"/>
      <c r="J152" s="79"/>
      <c r="K152" s="21"/>
      <c r="L152" s="79"/>
      <c r="M152" s="57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5.75" customHeight="1">
      <c r="A153" s="57"/>
      <c r="B153" s="80"/>
      <c r="C153" s="21"/>
      <c r="D153" s="22"/>
      <c r="E153" s="57"/>
      <c r="F153" s="21"/>
      <c r="G153" s="21"/>
      <c r="H153" s="57"/>
      <c r="I153" s="21"/>
      <c r="J153" s="79"/>
      <c r="K153" s="21"/>
      <c r="L153" s="79"/>
      <c r="M153" s="57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5.75" customHeight="1">
      <c r="A154" s="57"/>
      <c r="B154" s="80"/>
      <c r="C154" s="21"/>
      <c r="D154" s="22"/>
      <c r="E154" s="57"/>
      <c r="F154" s="21"/>
      <c r="G154" s="21"/>
      <c r="H154" s="57"/>
      <c r="I154" s="21"/>
      <c r="J154" s="79"/>
      <c r="K154" s="21"/>
      <c r="L154" s="79"/>
      <c r="M154" s="5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5.75" customHeight="1">
      <c r="A155" s="57"/>
      <c r="B155" s="80"/>
      <c r="C155" s="21"/>
      <c r="D155" s="22"/>
      <c r="E155" s="57"/>
      <c r="F155" s="21"/>
      <c r="G155" s="21"/>
      <c r="H155" s="57"/>
      <c r="I155" s="21"/>
      <c r="J155" s="79"/>
      <c r="K155" s="21"/>
      <c r="L155" s="79"/>
      <c r="M155" s="5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5.75" customHeight="1">
      <c r="A156" s="57"/>
      <c r="B156" s="80"/>
      <c r="C156" s="21"/>
      <c r="D156" s="22"/>
      <c r="E156" s="57"/>
      <c r="F156" s="21"/>
      <c r="G156" s="21"/>
      <c r="H156" s="57"/>
      <c r="I156" s="21"/>
      <c r="J156" s="79"/>
      <c r="K156" s="21"/>
      <c r="L156" s="79"/>
      <c r="M156" s="57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5.75" customHeight="1">
      <c r="A157" s="57"/>
      <c r="B157" s="80"/>
      <c r="C157" s="21"/>
      <c r="D157" s="22"/>
      <c r="E157" s="57"/>
      <c r="F157" s="21"/>
      <c r="G157" s="21"/>
      <c r="H157" s="57"/>
      <c r="I157" s="21"/>
      <c r="J157" s="79"/>
      <c r="K157" s="21"/>
      <c r="L157" s="79"/>
      <c r="M157" s="5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5.75" customHeight="1">
      <c r="A158" s="57"/>
      <c r="B158" s="80"/>
      <c r="C158" s="21"/>
      <c r="D158" s="22"/>
      <c r="E158" s="57"/>
      <c r="F158" s="21"/>
      <c r="G158" s="21"/>
      <c r="H158" s="57"/>
      <c r="I158" s="21"/>
      <c r="J158" s="79"/>
      <c r="K158" s="21"/>
      <c r="L158" s="79"/>
      <c r="M158" s="5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5.75" customHeight="1">
      <c r="A159" s="57"/>
      <c r="B159" s="80"/>
      <c r="C159" s="21"/>
      <c r="D159" s="22"/>
      <c r="E159" s="57"/>
      <c r="F159" s="21"/>
      <c r="G159" s="21"/>
      <c r="H159" s="57"/>
      <c r="I159" s="21"/>
      <c r="J159" s="79"/>
      <c r="K159" s="21"/>
      <c r="L159" s="79"/>
      <c r="M159" s="57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5.75" customHeight="1">
      <c r="A160" s="57"/>
      <c r="B160" s="80"/>
      <c r="C160" s="21"/>
      <c r="D160" s="22"/>
      <c r="E160" s="57"/>
      <c r="F160" s="21"/>
      <c r="G160" s="21"/>
      <c r="H160" s="57"/>
      <c r="I160" s="21"/>
      <c r="J160" s="79"/>
      <c r="K160" s="21"/>
      <c r="L160" s="79"/>
      <c r="M160" s="57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5.75" customHeight="1">
      <c r="A161" s="57"/>
      <c r="B161" s="80"/>
      <c r="C161" s="21"/>
      <c r="D161" s="22"/>
      <c r="E161" s="57"/>
      <c r="F161" s="21"/>
      <c r="G161" s="21"/>
      <c r="H161" s="57"/>
      <c r="I161" s="21"/>
      <c r="J161" s="79"/>
      <c r="K161" s="21"/>
      <c r="L161" s="79"/>
      <c r="M161" s="57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5.75" customHeight="1">
      <c r="A162" s="57"/>
      <c r="B162" s="80"/>
      <c r="C162" s="21"/>
      <c r="D162" s="22"/>
      <c r="E162" s="57"/>
      <c r="F162" s="21"/>
      <c r="G162" s="21"/>
      <c r="H162" s="57"/>
      <c r="I162" s="21"/>
      <c r="J162" s="79"/>
      <c r="K162" s="21"/>
      <c r="L162" s="79"/>
      <c r="M162" s="57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5.75" customHeight="1">
      <c r="A163" s="57"/>
      <c r="B163" s="80"/>
      <c r="C163" s="21"/>
      <c r="D163" s="22"/>
      <c r="E163" s="57"/>
      <c r="F163" s="21"/>
      <c r="G163" s="21"/>
      <c r="H163" s="57"/>
      <c r="I163" s="21"/>
      <c r="J163" s="79"/>
      <c r="K163" s="21"/>
      <c r="L163" s="79"/>
      <c r="M163" s="57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5.75" customHeight="1">
      <c r="A164" s="57"/>
      <c r="B164" s="80"/>
      <c r="C164" s="21"/>
      <c r="D164" s="22"/>
      <c r="E164" s="57"/>
      <c r="F164" s="21"/>
      <c r="G164" s="21"/>
      <c r="H164" s="57"/>
      <c r="I164" s="21"/>
      <c r="J164" s="79"/>
      <c r="K164" s="21"/>
      <c r="L164" s="79"/>
      <c r="M164" s="57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5.75" customHeight="1">
      <c r="A165" s="57"/>
      <c r="B165" s="80"/>
      <c r="C165" s="21"/>
      <c r="D165" s="22"/>
      <c r="E165" s="57"/>
      <c r="F165" s="21"/>
      <c r="G165" s="21"/>
      <c r="H165" s="57"/>
      <c r="I165" s="21"/>
      <c r="J165" s="79"/>
      <c r="K165" s="21"/>
      <c r="L165" s="79"/>
      <c r="M165" s="57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5.75" customHeight="1">
      <c r="A166" s="57"/>
      <c r="B166" s="80"/>
      <c r="C166" s="21"/>
      <c r="D166" s="22"/>
      <c r="E166" s="57"/>
      <c r="F166" s="21"/>
      <c r="G166" s="21"/>
      <c r="H166" s="57"/>
      <c r="I166" s="21"/>
      <c r="J166" s="79"/>
      <c r="K166" s="21"/>
      <c r="L166" s="79"/>
      <c r="M166" s="5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5.75" customHeight="1">
      <c r="A167" s="57"/>
      <c r="B167" s="80"/>
      <c r="C167" s="21"/>
      <c r="D167" s="22"/>
      <c r="E167" s="57"/>
      <c r="F167" s="21"/>
      <c r="G167" s="21"/>
      <c r="H167" s="57"/>
      <c r="I167" s="21"/>
      <c r="J167" s="79"/>
      <c r="K167" s="21"/>
      <c r="L167" s="79"/>
      <c r="M167" s="57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5.75" customHeight="1">
      <c r="A168" s="57"/>
      <c r="B168" s="80"/>
      <c r="C168" s="21"/>
      <c r="D168" s="22"/>
      <c r="E168" s="57"/>
      <c r="F168" s="21"/>
      <c r="G168" s="21"/>
      <c r="H168" s="57"/>
      <c r="I168" s="21"/>
      <c r="J168" s="79"/>
      <c r="K168" s="21"/>
      <c r="L168" s="79"/>
      <c r="M168" s="57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5.75" customHeight="1">
      <c r="A169" s="57"/>
      <c r="B169" s="80"/>
      <c r="C169" s="21"/>
      <c r="D169" s="22"/>
      <c r="E169" s="57"/>
      <c r="F169" s="21"/>
      <c r="G169" s="21"/>
      <c r="H169" s="57"/>
      <c r="I169" s="21"/>
      <c r="J169" s="79"/>
      <c r="K169" s="21"/>
      <c r="L169" s="79"/>
      <c r="M169" s="57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5.75" customHeight="1">
      <c r="A170" s="57"/>
      <c r="B170" s="80"/>
      <c r="C170" s="21"/>
      <c r="D170" s="22"/>
      <c r="E170" s="57"/>
      <c r="F170" s="21"/>
      <c r="G170" s="21"/>
      <c r="H170" s="57"/>
      <c r="I170" s="21"/>
      <c r="J170" s="79"/>
      <c r="K170" s="21"/>
      <c r="L170" s="79"/>
      <c r="M170" s="57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5.75" customHeight="1">
      <c r="A171" s="57"/>
      <c r="B171" s="80"/>
      <c r="C171" s="21"/>
      <c r="D171" s="22"/>
      <c r="E171" s="57"/>
      <c r="F171" s="21"/>
      <c r="G171" s="21"/>
      <c r="H171" s="57"/>
      <c r="I171" s="21"/>
      <c r="J171" s="79"/>
      <c r="K171" s="21"/>
      <c r="L171" s="79"/>
      <c r="M171" s="5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5.75" customHeight="1">
      <c r="A172" s="57"/>
      <c r="B172" s="80"/>
      <c r="C172" s="21"/>
      <c r="D172" s="22"/>
      <c r="E172" s="57"/>
      <c r="F172" s="21"/>
      <c r="G172" s="21"/>
      <c r="H172" s="57"/>
      <c r="I172" s="21"/>
      <c r="J172" s="79"/>
      <c r="K172" s="21"/>
      <c r="L172" s="79"/>
      <c r="M172" s="5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5.75" customHeight="1">
      <c r="A173" s="57"/>
      <c r="B173" s="80"/>
      <c r="C173" s="21"/>
      <c r="D173" s="22"/>
      <c r="E173" s="57"/>
      <c r="F173" s="21"/>
      <c r="G173" s="21"/>
      <c r="H173" s="57"/>
      <c r="I173" s="21"/>
      <c r="J173" s="79"/>
      <c r="K173" s="21"/>
      <c r="L173" s="79"/>
      <c r="M173" s="57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5.75" customHeight="1">
      <c r="A174" s="57"/>
      <c r="B174" s="80"/>
      <c r="C174" s="21"/>
      <c r="D174" s="22"/>
      <c r="E174" s="57"/>
      <c r="F174" s="21"/>
      <c r="G174" s="21"/>
      <c r="H174" s="57"/>
      <c r="I174" s="21"/>
      <c r="J174" s="79"/>
      <c r="K174" s="21"/>
      <c r="L174" s="79"/>
      <c r="M174" s="5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5.75" customHeight="1">
      <c r="A175" s="57"/>
      <c r="B175" s="80"/>
      <c r="C175" s="21"/>
      <c r="D175" s="22"/>
      <c r="E175" s="57"/>
      <c r="F175" s="21"/>
      <c r="G175" s="21"/>
      <c r="H175" s="57"/>
      <c r="I175" s="21"/>
      <c r="J175" s="79"/>
      <c r="K175" s="21"/>
      <c r="L175" s="79"/>
      <c r="M175" s="57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5.75" customHeight="1">
      <c r="A176" s="57"/>
      <c r="B176" s="80"/>
      <c r="C176" s="21"/>
      <c r="D176" s="22"/>
      <c r="E176" s="57"/>
      <c r="F176" s="21"/>
      <c r="G176" s="21"/>
      <c r="H176" s="57"/>
      <c r="I176" s="21"/>
      <c r="J176" s="79"/>
      <c r="K176" s="21"/>
      <c r="L176" s="79"/>
      <c r="M176" s="5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5.75" customHeight="1">
      <c r="A177" s="57"/>
      <c r="B177" s="80"/>
      <c r="C177" s="21"/>
      <c r="D177" s="22"/>
      <c r="E177" s="57"/>
      <c r="F177" s="21"/>
      <c r="G177" s="21"/>
      <c r="H177" s="57"/>
      <c r="I177" s="21"/>
      <c r="J177" s="79"/>
      <c r="K177" s="21"/>
      <c r="L177" s="79"/>
      <c r="M177" s="5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5.75" customHeight="1">
      <c r="A178" s="57"/>
      <c r="B178" s="80"/>
      <c r="C178" s="21"/>
      <c r="D178" s="22"/>
      <c r="E178" s="57"/>
      <c r="F178" s="21"/>
      <c r="G178" s="21"/>
      <c r="H178" s="57"/>
      <c r="I178" s="21"/>
      <c r="J178" s="79"/>
      <c r="K178" s="21"/>
      <c r="L178" s="79"/>
      <c r="M178" s="5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5.75" customHeight="1">
      <c r="A179" s="57"/>
      <c r="B179" s="80"/>
      <c r="C179" s="21"/>
      <c r="D179" s="22"/>
      <c r="E179" s="57"/>
      <c r="F179" s="21"/>
      <c r="G179" s="21"/>
      <c r="H179" s="57"/>
      <c r="I179" s="21"/>
      <c r="J179" s="79"/>
      <c r="K179" s="21"/>
      <c r="L179" s="79"/>
      <c r="M179" s="5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5.75" customHeight="1">
      <c r="A180" s="57"/>
      <c r="B180" s="80"/>
      <c r="C180" s="21"/>
      <c r="D180" s="22"/>
      <c r="E180" s="57"/>
      <c r="F180" s="21"/>
      <c r="G180" s="21"/>
      <c r="H180" s="57"/>
      <c r="I180" s="21"/>
      <c r="J180" s="79"/>
      <c r="K180" s="21"/>
      <c r="L180" s="79"/>
      <c r="M180" s="5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5.75" customHeight="1">
      <c r="A181" s="57"/>
      <c r="B181" s="80"/>
      <c r="C181" s="21"/>
      <c r="D181" s="22"/>
      <c r="E181" s="57"/>
      <c r="F181" s="21"/>
      <c r="G181" s="21"/>
      <c r="H181" s="57"/>
      <c r="I181" s="21"/>
      <c r="J181" s="79"/>
      <c r="K181" s="21"/>
      <c r="L181" s="79"/>
      <c r="M181" s="5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5.75" customHeight="1">
      <c r="A182" s="57"/>
      <c r="B182" s="80"/>
      <c r="C182" s="21"/>
      <c r="D182" s="22"/>
      <c r="E182" s="57"/>
      <c r="F182" s="21"/>
      <c r="G182" s="21"/>
      <c r="H182" s="57"/>
      <c r="I182" s="21"/>
      <c r="J182" s="79"/>
      <c r="K182" s="21"/>
      <c r="L182" s="79"/>
      <c r="M182" s="5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5.75" customHeight="1">
      <c r="A183" s="57"/>
      <c r="B183" s="80"/>
      <c r="C183" s="21"/>
      <c r="D183" s="22"/>
      <c r="E183" s="57"/>
      <c r="F183" s="21"/>
      <c r="G183" s="21"/>
      <c r="H183" s="57"/>
      <c r="I183" s="21"/>
      <c r="J183" s="79"/>
      <c r="K183" s="21"/>
      <c r="L183" s="79"/>
      <c r="M183" s="57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5.75" customHeight="1">
      <c r="A184" s="57"/>
      <c r="B184" s="80"/>
      <c r="C184" s="21"/>
      <c r="D184" s="22"/>
      <c r="E184" s="57"/>
      <c r="F184" s="21"/>
      <c r="G184" s="21"/>
      <c r="H184" s="57"/>
      <c r="I184" s="21"/>
      <c r="J184" s="79"/>
      <c r="K184" s="21"/>
      <c r="L184" s="79"/>
      <c r="M184" s="57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5.75" customHeight="1">
      <c r="A185" s="57"/>
      <c r="B185" s="80"/>
      <c r="C185" s="21"/>
      <c r="D185" s="22"/>
      <c r="E185" s="57"/>
      <c r="F185" s="21"/>
      <c r="G185" s="21"/>
      <c r="H185" s="57"/>
      <c r="I185" s="21"/>
      <c r="J185" s="79"/>
      <c r="K185" s="21"/>
      <c r="L185" s="79"/>
      <c r="M185" s="57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5.75" customHeight="1">
      <c r="A186" s="57"/>
      <c r="B186" s="80"/>
      <c r="C186" s="21"/>
      <c r="D186" s="22"/>
      <c r="E186" s="57"/>
      <c r="F186" s="21"/>
      <c r="G186" s="21"/>
      <c r="H186" s="57"/>
      <c r="I186" s="21"/>
      <c r="J186" s="79"/>
      <c r="K186" s="21"/>
      <c r="L186" s="79"/>
      <c r="M186" s="57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5.75" customHeight="1">
      <c r="A187" s="57"/>
      <c r="B187" s="80"/>
      <c r="C187" s="21"/>
      <c r="D187" s="22"/>
      <c r="E187" s="57"/>
      <c r="F187" s="21"/>
      <c r="G187" s="21"/>
      <c r="H187" s="57"/>
      <c r="I187" s="21"/>
      <c r="J187" s="79"/>
      <c r="K187" s="21"/>
      <c r="L187" s="79"/>
      <c r="M187" s="57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5.75" customHeight="1">
      <c r="A188" s="57"/>
      <c r="B188" s="80"/>
      <c r="C188" s="21"/>
      <c r="D188" s="22"/>
      <c r="E188" s="57"/>
      <c r="F188" s="21"/>
      <c r="G188" s="21"/>
      <c r="H188" s="57"/>
      <c r="I188" s="21"/>
      <c r="J188" s="79"/>
      <c r="K188" s="21"/>
      <c r="L188" s="79"/>
      <c r="M188" s="57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5.75" customHeight="1">
      <c r="A189" s="57"/>
      <c r="B189" s="80"/>
      <c r="C189" s="21"/>
      <c r="D189" s="22"/>
      <c r="E189" s="57"/>
      <c r="F189" s="21"/>
      <c r="G189" s="21"/>
      <c r="H189" s="57"/>
      <c r="I189" s="21"/>
      <c r="J189" s="79"/>
      <c r="K189" s="21"/>
      <c r="L189" s="79"/>
      <c r="M189" s="57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5.75" customHeight="1">
      <c r="A190" s="57"/>
      <c r="B190" s="80"/>
      <c r="C190" s="21"/>
      <c r="D190" s="22"/>
      <c r="E190" s="57"/>
      <c r="F190" s="21"/>
      <c r="G190" s="21"/>
      <c r="H190" s="57"/>
      <c r="I190" s="21"/>
      <c r="J190" s="79"/>
      <c r="K190" s="21"/>
      <c r="L190" s="79"/>
      <c r="M190" s="57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5.75" customHeight="1">
      <c r="A191" s="57"/>
      <c r="B191" s="80"/>
      <c r="C191" s="21"/>
      <c r="D191" s="22"/>
      <c r="E191" s="57"/>
      <c r="F191" s="21"/>
      <c r="G191" s="21"/>
      <c r="H191" s="57"/>
      <c r="I191" s="21"/>
      <c r="J191" s="79"/>
      <c r="K191" s="21"/>
      <c r="L191" s="79"/>
      <c r="M191" s="57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5.75" customHeight="1">
      <c r="A192" s="57"/>
      <c r="B192" s="80"/>
      <c r="C192" s="21"/>
      <c r="D192" s="22"/>
      <c r="E192" s="57"/>
      <c r="F192" s="21"/>
      <c r="G192" s="21"/>
      <c r="H192" s="57"/>
      <c r="I192" s="21"/>
      <c r="J192" s="79"/>
      <c r="K192" s="21"/>
      <c r="L192" s="79"/>
      <c r="M192" s="57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5.75" customHeight="1">
      <c r="A193" s="57"/>
      <c r="B193" s="80"/>
      <c r="C193" s="21"/>
      <c r="D193" s="22"/>
      <c r="E193" s="57"/>
      <c r="F193" s="21"/>
      <c r="G193" s="21"/>
      <c r="H193" s="57"/>
      <c r="I193" s="21"/>
      <c r="J193" s="79"/>
      <c r="K193" s="21"/>
      <c r="L193" s="79"/>
      <c r="M193" s="57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5.75" customHeight="1">
      <c r="A194" s="57"/>
      <c r="B194" s="80"/>
      <c r="C194" s="21"/>
      <c r="D194" s="22"/>
      <c r="E194" s="57"/>
      <c r="F194" s="21"/>
      <c r="G194" s="21"/>
      <c r="H194" s="57"/>
      <c r="I194" s="21"/>
      <c r="J194" s="79"/>
      <c r="K194" s="21"/>
      <c r="L194" s="79"/>
      <c r="M194" s="57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5.75" customHeight="1">
      <c r="A195" s="57"/>
      <c r="B195" s="80"/>
      <c r="C195" s="21"/>
      <c r="D195" s="22"/>
      <c r="E195" s="57"/>
      <c r="F195" s="21"/>
      <c r="G195" s="21"/>
      <c r="H195" s="57"/>
      <c r="I195" s="21"/>
      <c r="J195" s="79"/>
      <c r="K195" s="21"/>
      <c r="L195" s="79"/>
      <c r="M195" s="57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5.75" customHeight="1">
      <c r="A196" s="57"/>
      <c r="B196" s="80"/>
      <c r="C196" s="21"/>
      <c r="D196" s="22"/>
      <c r="E196" s="57"/>
      <c r="F196" s="21"/>
      <c r="G196" s="21"/>
      <c r="H196" s="57"/>
      <c r="I196" s="21"/>
      <c r="J196" s="79"/>
      <c r="K196" s="21"/>
      <c r="L196" s="79"/>
      <c r="M196" s="57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5.75" customHeight="1">
      <c r="A197" s="57"/>
      <c r="B197" s="80"/>
      <c r="C197" s="21"/>
      <c r="D197" s="22"/>
      <c r="E197" s="57"/>
      <c r="F197" s="21"/>
      <c r="G197" s="21"/>
      <c r="H197" s="57"/>
      <c r="I197" s="21"/>
      <c r="J197" s="79"/>
      <c r="K197" s="21"/>
      <c r="L197" s="79"/>
      <c r="M197" s="5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27" customHeight="1">
      <c r="A198" s="83"/>
      <c r="B198" s="83"/>
      <c r="C198" s="21"/>
      <c r="D198" s="22"/>
      <c r="E198" s="83"/>
      <c r="F198" s="21"/>
      <c r="G198" s="21"/>
      <c r="H198" s="83"/>
      <c r="I198" s="21"/>
      <c r="J198" s="79"/>
      <c r="K198" s="21"/>
      <c r="L198" s="79"/>
      <c r="M198" s="8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</sheetData>
  <mergeCells count="8">
    <mergeCell ref="A1:A2"/>
    <mergeCell ref="I1:I2"/>
    <mergeCell ref="K1:K2"/>
    <mergeCell ref="B1:B2"/>
    <mergeCell ref="D1:D2"/>
    <mergeCell ref="E1:E2"/>
    <mergeCell ref="G1:G2"/>
    <mergeCell ref="H1:H2"/>
  </mergeCells>
  <conditionalFormatting sqref="A4">
    <cfRule type="expression" dxfId="18" priority="1">
      <formula>I4</formula>
    </cfRule>
  </conditionalFormatting>
  <conditionalFormatting sqref="A4">
    <cfRule type="cellIs" dxfId="17" priority="2" operator="equal">
      <formula>"Sí"</formula>
    </cfRule>
  </conditionalFormatting>
  <conditionalFormatting sqref="A4">
    <cfRule type="cellIs" dxfId="16" priority="3" operator="equal">
      <formula>"NO"</formula>
    </cfRule>
  </conditionalFormatting>
  <conditionalFormatting sqref="C3">
    <cfRule type="cellIs" dxfId="15" priority="4" operator="equal">
      <formula>"Sí"</formula>
    </cfRule>
  </conditionalFormatting>
  <conditionalFormatting sqref="C3">
    <cfRule type="cellIs" dxfId="14" priority="5" operator="equal">
      <formula>"No"</formula>
    </cfRule>
  </conditionalFormatting>
  <conditionalFormatting sqref="C4:C198 I4:I198 K4:K198">
    <cfRule type="cellIs" dxfId="13" priority="6" operator="equal">
      <formula>"Sí"</formula>
    </cfRule>
  </conditionalFormatting>
  <conditionalFormatting sqref="C4:C198 I4:I198 K4:K198">
    <cfRule type="cellIs" dxfId="12" priority="7" operator="equal">
      <formula>"No"</formula>
    </cfRule>
  </conditionalFormatting>
  <conditionalFormatting sqref="C4:C198">
    <cfRule type="cellIs" dxfId="11" priority="8" operator="equal">
      <formula>"No viene"</formula>
    </cfRule>
  </conditionalFormatting>
  <conditionalFormatting sqref="F4:F198">
    <cfRule type="cellIs" dxfId="10" priority="9" operator="equal">
      <formula>"No viene"</formula>
    </cfRule>
  </conditionalFormatting>
  <conditionalFormatting sqref="F4:F198">
    <cfRule type="cellIs" dxfId="9" priority="10" operator="equal">
      <formula>"Sí"</formula>
    </cfRule>
  </conditionalFormatting>
  <conditionalFormatting sqref="F4:F198">
    <cfRule type="cellIs" dxfId="8" priority="11" operator="equal">
      <formula>"No"</formula>
    </cfRule>
  </conditionalFormatting>
  <conditionalFormatting sqref="G1 G3:G198">
    <cfRule type="cellIs" dxfId="7" priority="12" operator="equal">
      <formula>"Sin asignar"</formula>
    </cfRule>
  </conditionalFormatting>
  <conditionalFormatting sqref="G4:G198">
    <cfRule type="cellIs" dxfId="6" priority="13" operator="equal">
      <formula>"Mesa Nupcial"</formula>
    </cfRule>
  </conditionalFormatting>
  <conditionalFormatting sqref="G4:G198">
    <cfRule type="cellIs" dxfId="5" priority="14" operator="equal">
      <formula>"Mesa Nupcial"</formula>
    </cfRule>
  </conditionalFormatting>
  <conditionalFormatting sqref="I3">
    <cfRule type="cellIs" dxfId="4" priority="15" operator="equal">
      <formula>"Sí"</formula>
    </cfRule>
  </conditionalFormatting>
  <conditionalFormatting sqref="I3">
    <cfRule type="cellIs" dxfId="3" priority="16" operator="equal">
      <formula>"No"</formula>
    </cfRule>
  </conditionalFormatting>
  <conditionalFormatting sqref="J1:J198 L4:L198">
    <cfRule type="cellIs" dxfId="2" priority="17" operator="equal">
      <formula>"Sin definir"</formula>
    </cfRule>
  </conditionalFormatting>
  <conditionalFormatting sqref="K3 K6:K198">
    <cfRule type="cellIs" dxfId="1" priority="18" operator="equal">
      <formula>"Sí"</formula>
    </cfRule>
  </conditionalFormatting>
  <conditionalFormatting sqref="K3 K6:K198">
    <cfRule type="cellIs" dxfId="0" priority="19" operator="equal">
      <formula>"No"</formula>
    </cfRule>
  </conditionalFormatting>
  <dataValidations count="8">
    <dataValidation type="list" allowBlank="1" showErrorMessage="1" sqref="F4:F198 I4:I198 K4:K198">
      <formula1>"Sí,No"</formula1>
    </dataValidation>
    <dataValidation type="list" allowBlank="1" sqref="H4:H198">
      <formula1>"Celiac@,Vegan@,Vegetarian@,Intolerante a la lactosa,Intolerante al huevo,Intolerante a los frutos secos"</formula1>
    </dataValidation>
    <dataValidation type="list" allowBlank="1" showErrorMessage="1" sqref="C4:C198">
      <formula1>"Sí,No,No viene"</formula1>
    </dataValidation>
    <dataValidation type="list" allowBlank="1" showErrorMessage="1" sqref="G5:G198">
      <formula1>"Sin asignar,Mesa Nupcial,Mesa 1,Mesa 2,Mesa 3,Mesa 4,Mesa 5,Mesa 6,Mesa 7,Mesa 8,Mesa 9,Mesa 10,Mesa 11,Mesa 12,Mesa 13,Mesa 14,Mesa 15,Mesa 16,Mesa 17,Mesa 18,Mesa 19,Mesa 20"</formula1>
    </dataValidation>
    <dataValidation type="list" allowBlank="1" showErrorMessage="1" sqref="E4:E198">
      <formula1>"Adulto,Niño"</formula1>
    </dataValidation>
    <dataValidation type="list" allowBlank="1" sqref="L4:L198">
      <formula1>"8:00,8:15,8:30,8:45,9:00,9:15,9:30,9:45,10:00,10:15,10:30,10:45,11:00,11:15,11:30,11:45,12:00,12:15,12:30,12:45,13:00,13:15,13:30,13:45,14:00,14:15,14:30,15:00,15:15,15:30,15:45,16:00,16:15,16:30,16:45,17:00,17:15,17:30,17:45,18:00,18:15,18:30,18:45,19:00"&amp;",19:15,19:30,19:45,20:00,20:15,20:30,20:45,21:00,21:15,21:30,21:45,22:00,22:15,22:30,22:45,23:00,23:15,23:30,23:45,00:00,00:15,00:30,00:45,1:00,1:15,1:30,1:45,2:00,2:15,2:30,2:45,3:00,3:15,3:30,3:45,4:00,4:15,4:30,4:45,5:00,5:15,5:30,5:45,6:00,6:15,6:30,6"&amp;":45,7:00,7:15,7:30,7:45"</formula1>
    </dataValidation>
    <dataValidation type="list" allowBlank="1" sqref="D4:D198">
      <formula1>"Familia,Amigos,Trabajo,Estudios,Otra"</formula1>
    </dataValidation>
    <dataValidation type="list" allowBlank="1" sqref="G4">
      <formula1>"Sin asignar,Mesa Nupcial,Mesa 1,Mesa 2,Mesa 3,Mesa 4,Mesa 5,Mesa 6,Mesa 7,Mesa 8,Mesa 9,Mesa 10,Mesa 11,Mesa 12,Mesa 13,Mesa 14,Mesa 15,Mesa 16,Mesa 17,Mesa 18,Mesa 19,Mesa 20"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</sheetPr>
  <dimension ref="A1:K100"/>
  <sheetViews>
    <sheetView showGridLines="0" workbookViewId="0">
      <selection activeCell="B27" sqref="B27"/>
    </sheetView>
  </sheetViews>
  <sheetFormatPr baseColWidth="10" defaultColWidth="14.44140625" defaultRowHeight="15" customHeight="1"/>
  <cols>
    <col min="1" max="1" width="13.6640625" customWidth="1"/>
    <col min="2" max="2" width="41.44140625" customWidth="1"/>
    <col min="3" max="3" width="43.44140625" customWidth="1"/>
    <col min="4" max="4" width="74.5546875" customWidth="1"/>
    <col min="5" max="6" width="11.44140625" customWidth="1"/>
    <col min="7" max="11" width="10.6640625" customWidth="1"/>
  </cols>
  <sheetData>
    <row r="1" spans="1:11" ht="36" customHeight="1">
      <c r="A1" s="149" t="s">
        <v>226</v>
      </c>
      <c r="B1" s="138"/>
      <c r="C1" s="138"/>
      <c r="D1" s="123"/>
      <c r="E1" s="59"/>
      <c r="F1" s="59"/>
      <c r="G1" s="59"/>
      <c r="H1" s="59"/>
      <c r="I1" s="59"/>
      <c r="J1" s="59"/>
      <c r="K1" s="59"/>
    </row>
    <row r="2" spans="1:11" ht="17.399999999999999">
      <c r="A2" s="103" t="s">
        <v>212</v>
      </c>
      <c r="B2" s="87" t="s">
        <v>213</v>
      </c>
      <c r="C2" s="87" t="s">
        <v>214</v>
      </c>
      <c r="D2" s="87" t="s">
        <v>148</v>
      </c>
      <c r="E2" s="59"/>
      <c r="F2" s="59"/>
      <c r="G2" s="59"/>
      <c r="H2" s="59"/>
      <c r="I2" s="59"/>
      <c r="J2" s="59"/>
      <c r="K2" s="59"/>
    </row>
    <row r="3" spans="1:11" ht="16.8">
      <c r="A3" s="85">
        <v>0.5</v>
      </c>
      <c r="B3" s="60" t="s">
        <v>215</v>
      </c>
      <c r="C3" s="60"/>
      <c r="D3" s="60"/>
      <c r="E3" s="59"/>
      <c r="F3" s="59"/>
      <c r="G3" s="59"/>
      <c r="H3" s="59"/>
      <c r="I3" s="59"/>
      <c r="J3" s="59"/>
      <c r="K3" s="59"/>
    </row>
    <row r="4" spans="1:11" ht="16.8">
      <c r="A4" s="86">
        <v>0.54166666666666663</v>
      </c>
      <c r="B4" s="66" t="s">
        <v>216</v>
      </c>
      <c r="C4" s="66"/>
      <c r="D4" s="66"/>
      <c r="E4" s="59"/>
      <c r="F4" s="59"/>
      <c r="G4" s="59"/>
      <c r="H4" s="59"/>
      <c r="I4" s="59"/>
      <c r="J4" s="59"/>
      <c r="K4" s="59"/>
    </row>
    <row r="5" spans="1:11" ht="16.8">
      <c r="A5" s="85">
        <v>0.58333333333333337</v>
      </c>
      <c r="B5" s="60" t="s">
        <v>217</v>
      </c>
      <c r="C5" s="60"/>
      <c r="D5" s="60"/>
      <c r="E5" s="59"/>
      <c r="F5" s="59"/>
      <c r="G5" s="59"/>
      <c r="H5" s="59"/>
      <c r="I5" s="59"/>
      <c r="J5" s="59"/>
      <c r="K5" s="59"/>
    </row>
    <row r="6" spans="1:11" ht="16.8">
      <c r="A6" s="86"/>
      <c r="B6" s="66"/>
      <c r="C6" s="66"/>
      <c r="D6" s="66"/>
      <c r="E6" s="59"/>
      <c r="F6" s="59"/>
      <c r="G6" s="59"/>
      <c r="H6" s="59"/>
      <c r="I6" s="59"/>
      <c r="J6" s="59"/>
      <c r="K6" s="59"/>
    </row>
    <row r="7" spans="1:11" ht="16.8">
      <c r="A7" s="85"/>
      <c r="B7" s="60"/>
      <c r="C7" s="60"/>
      <c r="D7" s="60"/>
      <c r="E7" s="59"/>
      <c r="F7" s="59"/>
      <c r="G7" s="59"/>
      <c r="H7" s="59"/>
      <c r="I7" s="59"/>
      <c r="J7" s="59"/>
      <c r="K7" s="59"/>
    </row>
    <row r="8" spans="1:11" ht="16.8">
      <c r="A8" s="86"/>
      <c r="B8" s="66"/>
      <c r="C8" s="66"/>
      <c r="D8" s="66"/>
      <c r="E8" s="59"/>
      <c r="F8" s="59"/>
      <c r="G8" s="59"/>
      <c r="H8" s="59"/>
      <c r="I8" s="59"/>
      <c r="J8" s="59"/>
      <c r="K8" s="59"/>
    </row>
    <row r="9" spans="1:11" ht="16.8">
      <c r="A9" s="85"/>
      <c r="B9" s="60"/>
      <c r="C9" s="60"/>
      <c r="D9" s="60"/>
      <c r="E9" s="59"/>
      <c r="F9" s="59"/>
      <c r="G9" s="59"/>
      <c r="H9" s="59"/>
      <c r="I9" s="59"/>
      <c r="J9" s="59"/>
      <c r="K9" s="59"/>
    </row>
    <row r="10" spans="1:11" ht="16.8">
      <c r="A10" s="86"/>
      <c r="B10" s="66"/>
      <c r="C10" s="66"/>
      <c r="D10" s="66"/>
      <c r="E10" s="59"/>
      <c r="F10" s="59"/>
      <c r="G10" s="59"/>
      <c r="H10" s="59"/>
      <c r="I10" s="59"/>
      <c r="J10" s="59"/>
      <c r="K10" s="59"/>
    </row>
    <row r="11" spans="1:11" ht="16.8">
      <c r="A11" s="85"/>
      <c r="B11" s="60"/>
      <c r="C11" s="60"/>
      <c r="D11" s="60"/>
      <c r="E11" s="59"/>
      <c r="F11" s="59"/>
      <c r="G11" s="59"/>
      <c r="H11" s="59"/>
      <c r="I11" s="59"/>
      <c r="J11" s="59"/>
      <c r="K11" s="59"/>
    </row>
    <row r="12" spans="1:11" ht="16.8">
      <c r="A12" s="86"/>
      <c r="B12" s="66"/>
      <c r="C12" s="66"/>
      <c r="D12" s="66"/>
      <c r="E12" s="59"/>
      <c r="F12" s="59"/>
      <c r="G12" s="59"/>
      <c r="H12" s="59"/>
      <c r="I12" s="59"/>
      <c r="J12" s="59"/>
      <c r="K12" s="59"/>
    </row>
    <row r="13" spans="1:11" ht="16.8">
      <c r="A13" s="85"/>
      <c r="B13" s="60"/>
      <c r="C13" s="60"/>
      <c r="D13" s="60"/>
      <c r="E13" s="59"/>
      <c r="F13" s="59"/>
      <c r="G13" s="59"/>
      <c r="H13" s="59"/>
      <c r="I13" s="59"/>
      <c r="J13" s="59"/>
      <c r="K13" s="59"/>
    </row>
    <row r="14" spans="1:11" ht="16.8">
      <c r="A14" s="86"/>
      <c r="B14" s="66"/>
      <c r="C14" s="66"/>
      <c r="D14" s="66"/>
      <c r="E14" s="59"/>
      <c r="F14" s="59"/>
      <c r="G14" s="59"/>
      <c r="H14" s="59"/>
      <c r="I14" s="59"/>
      <c r="J14" s="59"/>
      <c r="K14" s="59"/>
    </row>
    <row r="15" spans="1:11" ht="16.8">
      <c r="A15" s="85"/>
      <c r="B15" s="60"/>
      <c r="C15" s="60"/>
      <c r="D15" s="60"/>
      <c r="E15" s="59"/>
      <c r="F15" s="59"/>
      <c r="G15" s="59"/>
      <c r="H15" s="59"/>
      <c r="I15" s="59"/>
      <c r="J15" s="59"/>
      <c r="K15" s="59"/>
    </row>
    <row r="16" spans="1:11" ht="16.8">
      <c r="A16" s="86"/>
      <c r="B16" s="66"/>
      <c r="C16" s="66"/>
      <c r="D16" s="66"/>
      <c r="E16" s="59"/>
      <c r="F16" s="59"/>
      <c r="G16" s="59"/>
      <c r="H16" s="59"/>
      <c r="I16" s="59"/>
      <c r="J16" s="59"/>
      <c r="K16" s="59"/>
    </row>
    <row r="17" spans="1:11" ht="16.8">
      <c r="A17" s="85"/>
      <c r="B17" s="60"/>
      <c r="C17" s="60"/>
      <c r="D17" s="60"/>
      <c r="E17" s="59"/>
      <c r="F17" s="59"/>
      <c r="G17" s="59"/>
      <c r="H17" s="59"/>
      <c r="I17" s="59"/>
      <c r="J17" s="59"/>
      <c r="K17" s="59"/>
    </row>
    <row r="18" spans="1:11" ht="16.8">
      <c r="A18" s="86"/>
      <c r="B18" s="66"/>
      <c r="C18" s="66"/>
      <c r="D18" s="66"/>
      <c r="E18" s="59"/>
      <c r="F18" s="59"/>
      <c r="G18" s="59"/>
      <c r="H18" s="59"/>
      <c r="I18" s="59"/>
      <c r="J18" s="59"/>
      <c r="K18" s="59"/>
    </row>
    <row r="19" spans="1:11" ht="16.8">
      <c r="A19" s="85"/>
      <c r="B19" s="60"/>
      <c r="C19" s="60"/>
      <c r="D19" s="60"/>
      <c r="E19" s="59"/>
      <c r="F19" s="59"/>
      <c r="G19" s="59"/>
      <c r="H19" s="59"/>
      <c r="I19" s="59"/>
      <c r="J19" s="59"/>
      <c r="K19" s="59"/>
    </row>
    <row r="20" spans="1:11" ht="14.4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ht="1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</row>
    <row r="24" spans="1:11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</row>
    <row r="25" spans="1:11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</row>
    <row r="26" spans="1:11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</row>
    <row r="27" spans="1:11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</row>
    <row r="28" spans="1:11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</row>
    <row r="29" spans="1:11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</row>
    <row r="30" spans="1:11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</row>
    <row r="31" spans="1:1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 spans="1:11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</row>
    <row r="33" spans="1:11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</row>
    <row r="34" spans="1:11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</row>
    <row r="35" spans="1:11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</row>
    <row r="36" spans="1:11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</row>
    <row r="37" spans="1:11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</row>
    <row r="38" spans="1:11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</row>
    <row r="39" spans="1:11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</row>
    <row r="40" spans="1:11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</row>
    <row r="41" spans="1:1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</row>
    <row r="42" spans="1:11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</row>
    <row r="43" spans="1:11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</row>
    <row r="44" spans="1:11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</row>
    <row r="45" spans="1:11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</row>
    <row r="46" spans="1:11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</row>
    <row r="47" spans="1:11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</row>
    <row r="48" spans="1:11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 spans="1:11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</row>
    <row r="50" spans="1:11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 spans="1:1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</row>
    <row r="52" spans="1:11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 spans="1:11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</row>
    <row r="54" spans="1:11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</row>
    <row r="55" spans="1:11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</row>
    <row r="56" spans="1:11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</row>
    <row r="57" spans="1:11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 spans="1:11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</row>
    <row r="59" spans="1:11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</row>
    <row r="60" spans="1:11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</row>
    <row r="61" spans="1:1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 spans="1:11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</row>
    <row r="63" spans="1:11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</row>
    <row r="64" spans="1:11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</row>
    <row r="65" spans="1:11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</row>
    <row r="66" spans="1:11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</row>
    <row r="68" spans="1:11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</row>
    <row r="71" spans="1:1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</row>
    <row r="72" spans="1:11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</row>
    <row r="73" spans="1:11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</row>
    <row r="74" spans="1:11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</row>
    <row r="75" spans="1:11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</row>
    <row r="76" spans="1:11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</row>
    <row r="77" spans="1:11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</row>
    <row r="78" spans="1:11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</row>
    <row r="79" spans="1:11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</row>
    <row r="80" spans="1:11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</row>
    <row r="81" spans="1:1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</row>
    <row r="82" spans="1:11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</row>
    <row r="83" spans="1:11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</row>
    <row r="84" spans="1:11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</row>
    <row r="85" spans="1:11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</row>
    <row r="86" spans="1:11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</row>
    <row r="87" spans="1:11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</row>
    <row r="88" spans="1:11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</row>
    <row r="89" spans="1:11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</row>
    <row r="90" spans="1:11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</row>
    <row r="91" spans="1:1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</row>
    <row r="92" spans="1:11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</row>
    <row r="93" spans="1:11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</row>
    <row r="94" spans="1:11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</row>
    <row r="95" spans="1:11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</row>
    <row r="96" spans="1:11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</row>
    <row r="97" spans="1:11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</row>
    <row r="98" spans="1:11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</row>
    <row r="99" spans="1:11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</row>
    <row r="100" spans="1:11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</row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Simulador Coste Boda</vt:lpstr>
      <vt:lpstr>Gastos</vt:lpstr>
      <vt:lpstr>Resumen</vt:lpstr>
      <vt:lpstr>Invitados</vt:lpstr>
      <vt:lpstr>Timeline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 Jesús Frieiro</cp:lastModifiedBy>
  <dcterms:created xsi:type="dcterms:W3CDTF">2024-12-12T09:09:22Z</dcterms:created>
  <dcterms:modified xsi:type="dcterms:W3CDTF">2026-04-20T12:57:10Z</dcterms:modified>
</cp:coreProperties>
</file>